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pplications" sheetId="2" state="visible" r:id="rId2"/>
    <sheet xmlns:r="http://schemas.openxmlformats.org/officeDocument/2006/relationships" name="SAML - Okta vs PingFederate" sheetId="3" state="visible" r:id="rId3"/>
    <sheet xmlns:r="http://schemas.openxmlformats.org/officeDocument/2006/relationships" name="OIDC - Okta vs PingFederate" sheetId="4" state="visible" r:id="rId4"/>
    <sheet xmlns:r="http://schemas.openxmlformats.org/officeDocument/2006/relationships" name="PingFederate reconciliation" sheetId="5" state="visible" r:id="rId5"/>
    <sheet xmlns:r="http://schemas.openxmlformats.org/officeDocument/2006/relationships" name="Migration plan" sheetId="6" state="visible" r:id="rId6"/>
    <sheet xmlns:r="http://schemas.openxmlformats.org/officeDocument/2006/relationships" name="Attribute mapping" sheetId="7" state="visible" r:id="rId7"/>
    <sheet xmlns:r="http://schemas.openxmlformats.org/officeDocument/2006/relationships" name="Directory prep" sheetId="8" state="visible" r:id="rId8"/>
    <sheet xmlns:r="http://schemas.openxmlformats.org/officeDocument/2006/relationships" name="Action plan" sheetId="9" state="visible" r:id="rId9"/>
    <sheet xmlns:r="http://schemas.openxmlformats.org/officeDocument/2006/relationships" name="Owner questions" sheetId="10" state="visible" r:id="rId10"/>
    <sheet xmlns:r="http://schemas.openxmlformats.org/officeDocument/2006/relationships" name="Findings" sheetId="11" state="visible" r:id="rId11"/>
    <sheet xmlns:r="http://schemas.openxmlformats.org/officeDocument/2006/relationships" name="Risk breakdown" sheetId="12" state="visible" r:id="rId12"/>
  </sheets>
  <definedNames>
    <definedName name="_xlnm._FilterDatabase" localSheetId="1" hidden="1">'Applications'!$A$1:$AJ$12</definedName>
    <definedName name="_xlnm._FilterDatabase" localSheetId="2" hidden="1">'SAML - Okta vs PingFederate'!$A$1:$H$160</definedName>
    <definedName name="_xlnm._FilterDatabase" localSheetId="3" hidden="1">'OIDC - Okta vs PingFederate'!$A$1:$H$92</definedName>
    <definedName name="_xlnm._FilterDatabase" localSheetId="4" hidden="1">'PingFederate reconciliation'!$A$1:$H$26</definedName>
    <definedName name="_xlnm._FilterDatabase" localSheetId="5" hidden="1">'Migration plan'!$A$1:$K$78</definedName>
    <definedName name="_xlnm._FilterDatabase" localSheetId="6" hidden="1">'Attribute mapping'!$A$1:$J$15</definedName>
    <definedName name="_xlnm._FilterDatabase" localSheetId="7" hidden="1">'Directory prep'!$A$1:$D$16</definedName>
    <definedName name="_xlnm._FilterDatabase" localSheetId="8" hidden="1">'Action plan'!$A$1:$G$52</definedName>
    <definedName name="_xlnm._FilterDatabase" localSheetId="9" hidden="1">'Owner questions'!$A$1:$D$27</definedName>
    <definedName name="_xlnm._FilterDatabase" localSheetId="10" hidden="1">'Findings'!$A$1:$D$68</definedName>
    <definedName name="_xlnm._FilterDatabase" localSheetId="11" hidden="1">'Risk breakdown'!$A$1:$F$75</definedName>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Arial"/>
      <b val="1"/>
      <color rgb="00FFFFFF"/>
      <sz val="10"/>
    </font>
    <font>
      <name val="Arial"/>
      <sz val="10"/>
    </font>
    <font>
      <name val="Arial"/>
      <b val="1"/>
      <color rgb="001F2A44"/>
      <sz val="16"/>
    </font>
    <font>
      <name val="Arial"/>
      <b val="1"/>
      <sz val="10"/>
    </font>
    <font>
      <name val="Arial"/>
      <i val="1"/>
      <color rgb="00666666"/>
      <sz val="9"/>
    </font>
    <font>
      <name val="Arial"/>
      <b val="1"/>
      <color rgb="001F2A44"/>
      <sz val="12"/>
    </font>
    <font>
      <name val="Arial"/>
      <b val="1"/>
      <color rgb="00666666"/>
      <sz val="10"/>
    </font>
  </fonts>
  <fills count="4">
    <fill>
      <patternFill/>
    </fill>
    <fill>
      <patternFill patternType="gray125"/>
    </fill>
    <fill>
      <patternFill patternType="solid">
        <fgColor rgb="001F2A44"/>
      </patternFill>
    </fill>
    <fill>
      <patternFill patternType="solid">
        <fgColor rgb="00FFFF00"/>
      </patternFill>
    </fill>
  </fills>
  <borders count="2">
    <border>
      <left/>
      <right/>
      <top/>
      <bottom/>
      <diagonal/>
    </border>
    <border>
      <bottom style="thin">
        <color rgb="00D9DDE5"/>
      </bottom>
    </border>
  </borders>
  <cellStyleXfs count="1">
    <xf numFmtId="0" fontId="0" fillId="0" borderId="0"/>
  </cellStyleXfs>
  <cellXfs count="13">
    <xf numFmtId="0" fontId="0" fillId="0" borderId="0" pivotButton="0" quotePrefix="0" xfId="0"/>
    <xf numFmtId="0" fontId="3" fillId="0" borderId="0" pivotButton="0" quotePrefix="0" xfId="0"/>
    <xf numFmtId="0" fontId="4" fillId="0" borderId="0" pivotButton="0" quotePrefix="0" xfId="0"/>
    <xf numFmtId="0" fontId="2" fillId="0" borderId="0" pivotButton="0" quotePrefix="0" xfId="0"/>
    <xf numFmtId="0" fontId="5" fillId="0" borderId="0" pivotButton="0" quotePrefix="0" xfId="0"/>
    <xf numFmtId="0" fontId="6" fillId="0" borderId="0" pivotButton="0" quotePrefix="0" xfId="0"/>
    <xf numFmtId="0" fontId="7" fillId="0" borderId="0" applyAlignment="1" pivotButton="0" quotePrefix="0" xfId="0">
      <alignment horizontal="right"/>
    </xf>
    <xf numFmtId="0" fontId="4" fillId="0" borderId="0" applyAlignment="1" pivotButton="0" quotePrefix="0" xfId="0">
      <alignment horizontal="right"/>
    </xf>
    <xf numFmtId="0" fontId="1" fillId="2" borderId="1"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vertical="top"/>
    </xf>
    <xf numFmtId="0" fontId="2" fillId="3" borderId="1" applyAlignment="1" pivotButton="0" quotePrefix="0" xfId="0">
      <alignment vertical="top" wrapText="1"/>
    </xf>
  </cellXfs>
  <cellStyles count="1">
    <cellStyle name="Normal" xfId="0" builtinId="0" hidden="0"/>
  </cellStyles>
  <dxfs count="7">
    <dxf>
      <font>
        <name val="Arial"/>
        <b val="1"/>
        <sz val="10"/>
      </font>
      <fill>
        <patternFill patternType="solid">
          <fgColor rgb="00E3F4EA"/>
        </patternFill>
      </fill>
    </dxf>
    <dxf>
      <font>
        <name val="Arial"/>
        <b val="1"/>
        <sz val="10"/>
      </font>
      <fill>
        <patternFill patternType="solid">
          <fgColor rgb="00FFF1D6"/>
        </patternFill>
      </fill>
    </dxf>
    <dxf>
      <font>
        <name val="Arial"/>
        <b val="1"/>
        <sz val="10"/>
      </font>
      <fill>
        <patternFill patternType="solid">
          <fgColor rgb="00FDE2E1"/>
        </patternFill>
      </fill>
    </dxf>
    <dxf>
      <font>
        <name val="Arial"/>
        <b val="1"/>
        <sz val="10"/>
      </font>
      <fill>
        <patternFill patternType="solid">
          <fgColor rgb="00F4B6B2"/>
        </patternFill>
      </fill>
    </dxf>
    <dxf>
      <font>
        <name val="Arial"/>
        <b val="1"/>
        <sz val="10"/>
      </font>
      <fill>
        <patternFill patternType="solid">
          <fgColor rgb="00E4ECFD"/>
        </patternFill>
      </fill>
    </dxf>
    <dxf>
      <font>
        <name val="Arial"/>
        <b val="1"/>
        <sz val="10"/>
      </font>
      <fill>
        <patternFill patternType="solid">
          <fgColor rgb="00EEE8FB"/>
        </patternFill>
      </fill>
    </dxf>
    <dxf>
      <font>
        <name val="Arial"/>
        <b val="1"/>
        <sz val="10"/>
      </font>
      <fill>
        <patternFill patternType="solid">
          <fgColor rgb="00F2F3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
  <sheetViews>
    <sheetView showGridLines="0" workbookViewId="0">
      <selection activeCell="A1" sqref="A1"/>
    </sheetView>
  </sheetViews>
  <sheetFormatPr baseColWidth="8" defaultRowHeight="15"/>
  <cols>
    <col width="44" customWidth="1" min="1" max="1"/>
    <col width="14" customWidth="1" min="2" max="2"/>
    <col width="14" customWidth="1" min="3" max="3"/>
  </cols>
  <sheetData>
    <row r="1">
      <c r="A1" s="1" t="inlineStr">
        <is>
          <t>Okta to PingFederate SAML Migration Report</t>
        </is>
      </c>
    </row>
    <row r="3">
      <c r="A3" s="2" t="inlineStr">
        <is>
          <t>Customer</t>
        </is>
      </c>
      <c r="B3" s="3" t="inlineStr">
        <is>
          <t>Customer</t>
        </is>
      </c>
    </row>
    <row r="4">
      <c r="A4" s="2" t="inlineStr">
        <is>
          <t>Generated (UTC)</t>
        </is>
      </c>
      <c r="B4" s="3" t="inlineStr">
        <is>
          <t>2026-09-27 16:17</t>
        </is>
      </c>
    </row>
    <row r="5">
      <c r="A5" s="2" t="inlineStr">
        <is>
          <t>Risk rules version</t>
        </is>
      </c>
      <c r="B5" s="3" t="inlineStr">
        <is>
          <t>2026.09-pf-2</t>
        </is>
      </c>
    </row>
    <row r="6">
      <c r="A6" s="2" t="inlineStr">
        <is>
          <t>Target</t>
        </is>
      </c>
      <c r="B6" s="3" t="inlineStr">
        <is>
          <t>PingFederate (self-hosted)</t>
        </is>
      </c>
    </row>
    <row r="7">
      <c r="A7" s="2" t="inlineStr">
        <is>
          <t>Directory</t>
        </is>
      </c>
      <c r="B7" s="3" t="inlineStr">
        <is>
          <t>AD</t>
        </is>
      </c>
    </row>
    <row r="8">
      <c r="A8" s="2" t="inlineStr">
        <is>
          <t>OGNL allowed</t>
        </is>
      </c>
      <c r="B8" s="3" t="inlineStr">
        <is>
          <t>No</t>
        </is>
      </c>
    </row>
    <row r="9">
      <c r="A9" s="2" t="inlineStr">
        <is>
          <t>PingFederate base URL (assumed)</t>
        </is>
      </c>
      <c r="B9" s="3" t="inlineStr">
        <is>
          <t>https://sso.example.com</t>
        </is>
      </c>
    </row>
    <row r="10">
      <c r="A10" s="2" t="inlineStr">
        <is>
          <t>PingFederate entity ID (assumed)</t>
        </is>
      </c>
      <c r="B10" s="3" t="inlineStr">
        <is>
          <t>https://sso.example.com</t>
        </is>
      </c>
    </row>
    <row r="11">
      <c r="C11" s="4" t="inlineStr">
        <is>
          <t>Base URL and entity ID come from PF_BASE_URL / PF_ENTITY_ID in .env</t>
        </is>
      </c>
    </row>
    <row r="13">
      <c r="A13" s="5" t="inlineStr">
        <is>
          <t>Applications</t>
        </is>
      </c>
      <c r="B13" s="6" t="inlineStr">
        <is>
          <t>SAML</t>
        </is>
      </c>
      <c r="C13" s="6" t="inlineStr">
        <is>
          <t>OIDC</t>
        </is>
      </c>
    </row>
    <row r="14">
      <c r="A14" s="3" t="inlineStr">
        <is>
          <t>Applications</t>
        </is>
      </c>
      <c r="B14" s="7">
        <f>COUNTIF(Applications!$C$2:$C$12,"SAML")</f>
        <v/>
      </c>
      <c r="C14" s="7">
        <f>COUNTIF(Applications!$C$2:$C$12,"OIDC")</f>
        <v/>
      </c>
    </row>
    <row r="15">
      <c r="A15" s="3" t="inlineStr">
        <is>
          <t>Blocked</t>
        </is>
      </c>
      <c r="B15" s="7">
        <f>COUNTIFS(Applications!$C$2:$C$12,"SAML",Applications!$P$2:$P$12,"Yes")</f>
        <v/>
      </c>
      <c r="C15" s="7">
        <f>COUNTIFS(Applications!$C$2:$C$12,"OIDC",Applications!$P$2:$P$12,"Yes")</f>
        <v/>
      </c>
    </row>
    <row r="16">
      <c r="A16" s="3" t="inlineStr">
        <is>
          <t>Need access control (issuance criteria / policy)</t>
        </is>
      </c>
      <c r="B16" s="7">
        <f>COUNTIFS(Applications!$C$2:$C$12,"SAML",Applications!$W$2:$W$12,"Yes")</f>
        <v/>
      </c>
      <c r="C16" s="7">
        <f>COUNTIFS(Applications!$C$2:$C$12,"OIDC",Applications!$W$2:$W$12,"Yes")</f>
        <v/>
      </c>
    </row>
    <row r="17">
      <c r="A17" s="3" t="inlineStr">
        <is>
          <t>Total assigned users</t>
        </is>
      </c>
      <c r="B17" s="7">
        <f>SUMIF(Applications!$C$2:$C$12,"SAML",Applications!$G$2:$G$12)</f>
        <v/>
      </c>
      <c r="C17" s="7">
        <f>SUMIF(Applications!$C$2:$C$12,"OIDC",Applications!$G$2:$G$12)</f>
        <v/>
      </c>
    </row>
    <row r="19">
      <c r="A19" s="5" t="inlineStr">
        <is>
          <t>Overall level</t>
        </is>
      </c>
      <c r="B19" s="6" t="inlineStr">
        <is>
          <t>SAML</t>
        </is>
      </c>
      <c r="C19" s="6" t="inlineStr">
        <is>
          <t>OIDC</t>
        </is>
      </c>
    </row>
    <row r="20">
      <c r="A20" s="3" t="inlineStr">
        <is>
          <t>LOW</t>
        </is>
      </c>
      <c r="B20" s="7">
        <f>COUNTIFS(Applications!$C$2:$C$12,"SAML",Applications!$O$2:$O$12,"LOW")</f>
        <v/>
      </c>
      <c r="C20" s="7">
        <f>COUNTIFS(Applications!$C$2:$C$12,"OIDC",Applications!$O$2:$O$12,"LOW")</f>
        <v/>
      </c>
    </row>
    <row r="21">
      <c r="A21" s="3" t="inlineStr">
        <is>
          <t>MEDIUM</t>
        </is>
      </c>
      <c r="B21" s="7">
        <f>COUNTIFS(Applications!$C$2:$C$12,"SAML",Applications!$O$2:$O$12,"MEDIUM")</f>
        <v/>
      </c>
      <c r="C21" s="7">
        <f>COUNTIFS(Applications!$C$2:$C$12,"OIDC",Applications!$O$2:$O$12,"MEDIUM")</f>
        <v/>
      </c>
    </row>
    <row r="22">
      <c r="A22" s="3" t="inlineStr">
        <is>
          <t>HIGH</t>
        </is>
      </c>
      <c r="B22" s="7">
        <f>COUNTIFS(Applications!$C$2:$C$12,"SAML",Applications!$O$2:$O$12,"HIGH")</f>
        <v/>
      </c>
      <c r="C22" s="7">
        <f>COUNTIFS(Applications!$C$2:$C$12,"OIDC",Applications!$O$2:$O$12,"HIGH")</f>
        <v/>
      </c>
    </row>
    <row r="23">
      <c r="A23" s="3" t="inlineStr">
        <is>
          <t>CRITICAL</t>
        </is>
      </c>
      <c r="B23" s="7">
        <f>COUNTIFS(Applications!$C$2:$C$12,"SAML",Applications!$O$2:$O$12,"CRITICAL")</f>
        <v/>
      </c>
      <c r="C23" s="7">
        <f>COUNTIFS(Applications!$C$2:$C$12,"OIDC",Applications!$O$2:$O$12,"CRITICAL")</f>
        <v/>
      </c>
    </row>
    <row r="25">
      <c r="A25" s="5" t="inlineStr">
        <is>
          <t>Suggested wave</t>
        </is>
      </c>
      <c r="B25" s="6" t="inlineStr">
        <is>
          <t>SAML</t>
        </is>
      </c>
      <c r="C25" s="6" t="inlineStr">
        <is>
          <t>OIDC</t>
        </is>
      </c>
    </row>
    <row r="26">
      <c r="A26" s="3" t="inlineStr">
        <is>
          <t>Wave 0 (pilot)</t>
        </is>
      </c>
      <c r="B26" s="7">
        <f>COUNTIFS(Applications!$C$2:$C$12,"SAML",Applications!$R$2:$R$12,"Wave 0 (pilot)")</f>
        <v/>
      </c>
      <c r="C26" s="7">
        <f>COUNTIFS(Applications!$C$2:$C$12,"OIDC",Applications!$R$2:$R$12,"Wave 0 (pilot)")</f>
        <v/>
      </c>
    </row>
    <row r="27">
      <c r="A27" s="3" t="inlineStr">
        <is>
          <t>Wave 1</t>
        </is>
      </c>
      <c r="B27" s="7">
        <f>COUNTIFS(Applications!$C$2:$C$12,"SAML",Applications!$R$2:$R$12,"Wave 1")</f>
        <v/>
      </c>
      <c r="C27" s="7">
        <f>COUNTIFS(Applications!$C$2:$C$12,"OIDC",Applications!$R$2:$R$12,"Wave 1")</f>
        <v/>
      </c>
    </row>
    <row r="28">
      <c r="A28" s="3" t="inlineStr">
        <is>
          <t>Wave 2</t>
        </is>
      </c>
      <c r="B28" s="7">
        <f>COUNTIFS(Applications!$C$2:$C$12,"SAML",Applications!$R$2:$R$12,"Wave 2")</f>
        <v/>
      </c>
      <c r="C28" s="7">
        <f>COUNTIFS(Applications!$C$2:$C$12,"OIDC",Applications!$R$2:$R$12,"Wave 2")</f>
        <v/>
      </c>
    </row>
    <row r="29">
      <c r="A29" s="3" t="inlineStr">
        <is>
          <t>Wave 3 (high impact)</t>
        </is>
      </c>
      <c r="B29" s="7">
        <f>COUNTIFS(Applications!$C$2:$C$12,"SAML",Applications!$R$2:$R$12,"Wave 3 (high impact)")</f>
        <v/>
      </c>
      <c r="C29" s="7">
        <f>COUNTIFS(Applications!$C$2:$C$12,"OIDC",Applications!$R$2:$R$12,"Wave 3 (high impact)")</f>
        <v/>
      </c>
    </row>
    <row r="30">
      <c r="A30" s="3" t="inlineStr">
        <is>
          <t>Blocked</t>
        </is>
      </c>
      <c r="B30" s="7">
        <f>COUNTIFS(Applications!$C$2:$C$12,"SAML",Applications!$R$2:$R$12,"Blocked")</f>
        <v/>
      </c>
      <c r="C30" s="7">
        <f>COUNTIFS(Applications!$C$2:$C$12,"OIDC",Applications!$R$2:$R$12,"Blocked")</f>
        <v/>
      </c>
    </row>
    <row r="31">
      <c r="A31" s="3" t="inlineStr">
        <is>
          <t>Decommission review</t>
        </is>
      </c>
      <c r="B31" s="7">
        <f>COUNTIFS(Applications!$C$2:$C$12,"SAML",Applications!$R$2:$R$12,"Decommission review")</f>
        <v/>
      </c>
      <c r="C31" s="7">
        <f>COUNTIFS(Applications!$C$2:$C$12,"OIDC",Applications!$R$2:$R$12,"Decommission review")</f>
        <v/>
      </c>
    </row>
    <row r="33">
      <c r="A33" s="5" t="inlineStr">
        <is>
          <t>PingFederate build status</t>
        </is>
      </c>
      <c r="B33" s="6" t="inlineStr">
        <is>
          <t>SAML</t>
        </is>
      </c>
      <c r="C33" s="6" t="inlineStr">
        <is>
          <t>OIDC</t>
        </is>
      </c>
    </row>
    <row r="34">
      <c r="A34" s="3" t="inlineStr">
        <is>
          <t>Blocked</t>
        </is>
      </c>
      <c r="B34" s="7">
        <f>COUNTIFS(Applications!$C$2:$C$12,"SAML",Applications!$AH$2:$AH$12,"Blocked")</f>
        <v/>
      </c>
      <c r="C34" s="7">
        <f>COUNTIFS(Applications!$C$2:$C$12,"OIDC",Applications!$AH$2:$AH$12,"Blocked")</f>
        <v/>
      </c>
    </row>
    <row r="35">
      <c r="A35" s="3" t="inlineStr">
        <is>
          <t>Ready to build</t>
        </is>
      </c>
      <c r="B35" s="7">
        <f>COUNTIFS(Applications!$C$2:$C$12,"SAML",Applications!$AH$2:$AH$12,"Ready to build")</f>
        <v/>
      </c>
      <c r="C35" s="7">
        <f>COUNTIFS(Applications!$C$2:$C$12,"OIDC",Applications!$AH$2:$AH$12,"Ready to build")</f>
        <v/>
      </c>
    </row>
    <row r="36">
      <c r="A36" s="3" t="inlineStr">
        <is>
          <t>Built - differs</t>
        </is>
      </c>
      <c r="B36" s="7">
        <f>COUNTIFS(Applications!$C$2:$C$12,"SAML",Applications!$AH$2:$AH$12,"Built - differs")</f>
        <v/>
      </c>
      <c r="C36" s="7">
        <f>COUNTIFS(Applications!$C$2:$C$12,"OIDC",Applications!$AH$2:$AH$12,"Built - differs")</f>
        <v/>
      </c>
    </row>
    <row r="37">
      <c r="A37" s="3" t="inlineStr">
        <is>
          <t>Built</t>
        </is>
      </c>
      <c r="B37" s="7">
        <f>COUNTIFS(Applications!$C$2:$C$12,"SAML",Applications!$AH$2:$AH$12,"Built")</f>
        <v/>
      </c>
      <c r="C37" s="7">
        <f>COUNTIFS(Applications!$C$2:$C$12,"OIDC",Applications!$AH$2:$AH$12,"Built")</f>
        <v/>
      </c>
    </row>
    <row r="38">
      <c r="A38" s="3" t="inlineStr">
        <is>
          <t>Verified</t>
        </is>
      </c>
      <c r="B38" s="7">
        <f>COUNTIFS(Applications!$C$2:$C$12,"SAML",Applications!$AH$2:$AH$12,"Verified")</f>
        <v/>
      </c>
      <c r="C38" s="7">
        <f>COUNTIFS(Applications!$C$2:$C$12,"OIDC",Applications!$AH$2:$AH$12,"Verified")</f>
        <v/>
      </c>
    </row>
    <row r="39">
      <c r="A39" s="3" t="inlineStr">
        <is>
          <t>Out of scope</t>
        </is>
      </c>
      <c r="B39" s="7">
        <f>COUNTIFS(Applications!$C$2:$C$12,"SAML",Applications!$AH$2:$AH$12,"Out of scope")</f>
        <v/>
      </c>
      <c r="C39" s="7">
        <f>COUNTIFS(Applications!$C$2:$C$12,"OIDC",Applications!$AH$2:$AH$12,"Out of scope")</f>
        <v/>
      </c>
    </row>
    <row r="41">
      <c r="A41" s="5" t="inlineStr">
        <is>
          <t>Migration plan steps</t>
        </is>
      </c>
      <c r="B41" s="6" t="inlineStr">
        <is>
          <t>SAML</t>
        </is>
      </c>
      <c r="C41" s="6" t="inlineStr">
        <is>
          <t>OIDC</t>
        </is>
      </c>
    </row>
    <row r="42">
      <c r="A42" s="3" t="inlineStr">
        <is>
          <t>Not Started</t>
        </is>
      </c>
      <c r="B42" s="7">
        <f>COUNTIFS('Migration plan'!$B$2:$B$78,"SAML",'Migration plan'!$F$2:$F$78,"Not Started")</f>
        <v/>
      </c>
      <c r="C42" s="7">
        <f>COUNTIFS('Migration plan'!$B$2:$B$78,"OIDC",'Migration plan'!$F$2:$F$78,"Not Started")</f>
        <v/>
      </c>
    </row>
    <row r="43">
      <c r="A43" s="3" t="inlineStr">
        <is>
          <t>In Progress</t>
        </is>
      </c>
      <c r="B43" s="7">
        <f>COUNTIFS('Migration plan'!$B$2:$B$78,"SAML",'Migration plan'!$F$2:$F$78,"In Progress")</f>
        <v/>
      </c>
      <c r="C43" s="7">
        <f>COUNTIFS('Migration plan'!$B$2:$B$78,"OIDC",'Migration plan'!$F$2:$F$78,"In Progress")</f>
        <v/>
      </c>
    </row>
    <row r="44">
      <c r="A44" s="3" t="inlineStr">
        <is>
          <t>Done</t>
        </is>
      </c>
      <c r="B44" s="7">
        <f>COUNTIFS('Migration plan'!$B$2:$B$78,"SAML",'Migration plan'!$F$2:$F$78,"Done")</f>
        <v/>
      </c>
      <c r="C44" s="7">
        <f>COUNTIFS('Migration plan'!$B$2:$B$78,"OIDC",'Migration plan'!$F$2:$F$78,"Done")</f>
        <v/>
      </c>
    </row>
    <row r="45">
      <c r="A45" s="3" t="inlineStr">
        <is>
          <t>Blocked</t>
        </is>
      </c>
      <c r="B45" s="7">
        <f>COUNTIFS('Migration plan'!$B$2:$B$78,"SAML",'Migration plan'!$F$2:$F$78,"Blocked")</f>
        <v/>
      </c>
      <c r="C45" s="7">
        <f>COUNTIFS('Migration plan'!$B$2:$B$78,"OIDC",'Migration plan'!$F$2:$F$78,"Blocked")</f>
        <v/>
      </c>
    </row>
    <row r="46">
      <c r="A46" s="3" t="inlineStr">
        <is>
          <t>N/A</t>
        </is>
      </c>
      <c r="B46" s="7">
        <f>COUNTIFS('Migration plan'!$B$2:$B$78,"SAML",'Migration plan'!$F$2:$F$78,"N/A")</f>
        <v/>
      </c>
      <c r="C46" s="7">
        <f>COUNTIFS('Migration plan'!$B$2:$B$78,"OIDC",'Migration plan'!$F$2:$F$78,"N/A")</f>
        <v/>
      </c>
    </row>
    <row r="48">
      <c r="A48" s="5" t="inlineStr">
        <is>
          <t>Okta vs PingFederate fields</t>
        </is>
      </c>
      <c r="B48" s="6" t="inlineStr">
        <is>
          <t>SAML</t>
        </is>
      </c>
      <c r="C48" s="6" t="inlineStr">
        <is>
          <t>OIDC</t>
        </is>
      </c>
    </row>
    <row r="49">
      <c r="A49" s="3" t="inlineStr">
        <is>
          <t>ACTION - Preparation required before migration</t>
        </is>
      </c>
      <c r="B49" s="7">
        <f>COUNTIF('SAML - Okta vs PingFederate'!$G$2:$G$160,"ACTION")</f>
        <v/>
      </c>
      <c r="C49" s="7">
        <f>COUNTIF('OIDC - Okta vs PingFederate'!$G$2:$G$92,"ACTION")</f>
        <v/>
      </c>
    </row>
    <row r="50">
      <c r="A50" s="3" t="inlineStr">
        <is>
          <t>UNKNOWN - Not exposed by Okta's API - get from vendor</t>
        </is>
      </c>
      <c r="B50" s="7">
        <f>COUNTIF('SAML - Okta vs PingFederate'!$G$2:$G$160,"UNKNOWN")</f>
        <v/>
      </c>
      <c r="C50" s="7">
        <f>COUNTIF('OIDC - Okta vs PingFederate'!$G$2:$G$92,"UNKNOWN")</f>
        <v/>
      </c>
    </row>
    <row r="51">
      <c r="A51" s="3" t="inlineStr">
        <is>
          <t>SP_UPDATE - Changes by design - update the SP at cutover</t>
        </is>
      </c>
      <c r="B51" s="7">
        <f>COUNTIF('SAML - Okta vs PingFederate'!$G$2:$G$160,"SP_UPDATE")</f>
        <v/>
      </c>
      <c r="C51" s="7">
        <f>COUNTIF('OIDC - Okta vs PingFederate'!$G$2:$G$92,"SP_UPDATE")</f>
        <v/>
      </c>
    </row>
    <row r="52">
      <c r="A52" s="3" t="inlineStr">
        <is>
          <t>CONFIGURE - Standard PingFederate configuration</t>
        </is>
      </c>
      <c r="B52" s="7">
        <f>COUNTIF('SAML - Okta vs PingFederate'!$G$2:$G$160,"CONFIGURE")</f>
        <v/>
      </c>
      <c r="C52" s="7">
        <f>COUNTIF('OIDC - Okta vs PingFederate'!$G$2:$G$92,"CONFIGURE")</f>
        <v/>
      </c>
    </row>
    <row r="53">
      <c r="A53" s="3" t="inlineStr">
        <is>
          <t>SAME - Carried over unchanged</t>
        </is>
      </c>
      <c r="B53" s="7">
        <f>COUNTIF('SAML - Okta vs PingFederate'!$G$2:$G$160,"SAME")</f>
        <v/>
      </c>
      <c r="C53" s="7">
        <f>COUNTIF('OIDC - Okta vs PingFederate'!$G$2:$G$92,"SAME")</f>
        <v/>
      </c>
    </row>
    <row r="54">
      <c r="A54" s="3" t="inlineStr">
        <is>
          <t>N/A - Not used by this app</t>
        </is>
      </c>
      <c r="B54" s="7">
        <f>COUNTIF('SAML - Okta vs PingFederate'!$G$2:$G$160,"N/A")</f>
        <v/>
      </c>
      <c r="C54" s="7">
        <f>COUNTIF('OIDC - Okta vs PingFederate'!$G$2:$G$92,"N/A")</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2"/>
  <sheetViews>
    <sheetView showGridLines="1" workbookViewId="0">
      <pane ySplit="1" topLeftCell="A2" activePane="bottomLeft" state="frozen"/>
      <selection pane="bottomLeft" activeCell="A1" sqref="A1"/>
    </sheetView>
  </sheetViews>
  <sheetFormatPr baseColWidth="8" defaultRowHeight="15"/>
  <cols>
    <col width="22" customWidth="1" min="1" max="1"/>
    <col width="32" customWidth="1" min="2" max="2"/>
    <col width="10" customWidth="1" min="3" max="3"/>
    <col width="16" customWidth="1" min="4" max="4"/>
    <col width="11" customWidth="1" min="5" max="5"/>
    <col width="16" customWidth="1" min="6" max="6"/>
    <col width="8" customWidth="1" min="7" max="7"/>
    <col width="8" customWidth="1" min="8" max="8"/>
    <col width="8" customWidth="1" min="9" max="9"/>
    <col width="8" customWidth="1" min="10" max="10"/>
    <col width="10" customWidth="1" min="11" max="11"/>
    <col width="12" customWidth="1" min="12" max="12"/>
    <col width="9" customWidth="1" min="13" max="13"/>
    <col width="11" customWidth="1" min="14" max="14"/>
    <col width="11" customWidth="1" min="15" max="15"/>
    <col width="9" customWidth="1" min="16" max="16"/>
    <col width="30" customWidth="1" min="17" max="17"/>
    <col width="20" customWidth="1" min="18" max="18"/>
    <col width="14" customWidth="1" min="19" max="19"/>
    <col width="20" customWidth="1" min="20" max="20"/>
    <col width="11" customWidth="1" min="21" max="21"/>
    <col width="9" customWidth="1" min="22" max="22"/>
    <col width="12" customWidth="1" min="23" max="23"/>
    <col width="24" customWidth="1" min="24" max="24"/>
    <col width="26" customWidth="1" min="25" max="25"/>
    <col width="30" customWidth="1" min="26" max="26"/>
    <col width="24" customWidth="1" min="27" max="27"/>
    <col width="8" customWidth="1" min="28" max="28"/>
    <col width="8" customWidth="1" min="29" max="29"/>
    <col width="8" customWidth="1" min="30" max="30"/>
    <col width="14" customWidth="1" min="31" max="31"/>
    <col width="14" customWidth="1" min="32" max="32"/>
    <col width="16" customWidth="1" min="33" max="33"/>
    <col width="20" customWidth="1" min="34" max="34"/>
    <col width="10" customWidth="1" min="35" max="35"/>
    <col width="26" customWidth="1" min="36" max="36"/>
  </cols>
  <sheetData>
    <row r="1" ht="30" customHeight="1">
      <c r="A1" s="8" t="inlineStr">
        <is>
          <t>Okta app ID</t>
        </is>
      </c>
      <c r="B1" s="8" t="inlineStr">
        <is>
          <t>Application</t>
        </is>
      </c>
      <c r="C1" s="8" t="inlineStr">
        <is>
          <t>Protocol</t>
        </is>
      </c>
      <c r="D1" s="8" t="inlineStr">
        <is>
          <t>Type</t>
        </is>
      </c>
      <c r="E1" s="8" t="inlineStr">
        <is>
          <t>Okta status</t>
        </is>
      </c>
      <c r="F1" s="8" t="inlineStr">
        <is>
          <t>Migration state</t>
        </is>
      </c>
      <c r="G1" s="8" t="inlineStr">
        <is>
          <t>Users</t>
        </is>
      </c>
      <c r="H1" s="8" t="inlineStr">
        <is>
          <t>Direct users</t>
        </is>
      </c>
      <c r="I1" s="8" t="inlineStr">
        <is>
          <t>Groups</t>
        </is>
      </c>
      <c r="J1" s="8" t="inlineStr">
        <is>
          <t>Claims</t>
        </is>
      </c>
      <c r="K1" s="8" t="inlineStr">
        <is>
          <t>Complexity score</t>
        </is>
      </c>
      <c r="L1" s="8" t="inlineStr">
        <is>
          <t>Complexity</t>
        </is>
      </c>
      <c r="M1" s="8" t="inlineStr">
        <is>
          <t>Impact score</t>
        </is>
      </c>
      <c r="N1" s="8" t="inlineStr">
        <is>
          <t>Impact</t>
        </is>
      </c>
      <c r="O1" s="8" t="inlineStr">
        <is>
          <t>Overall</t>
        </is>
      </c>
      <c r="P1" s="8" t="inlineStr">
        <is>
          <t>Blocked</t>
        </is>
      </c>
      <c r="Q1" s="8" t="inlineStr">
        <is>
          <t>Blockers</t>
        </is>
      </c>
      <c r="R1" s="8" t="inlineStr">
        <is>
          <t>Suggested wave</t>
        </is>
      </c>
      <c r="S1" s="8" t="inlineStr">
        <is>
          <t>Assigned wave</t>
        </is>
      </c>
      <c r="T1" s="8" t="inlineStr">
        <is>
          <t>Business owner</t>
        </is>
      </c>
      <c r="U1" s="8" t="inlineStr">
        <is>
          <t>Criticality</t>
        </is>
      </c>
      <c r="V1" s="8" t="inlineStr">
        <is>
          <t>Test env</t>
        </is>
      </c>
      <c r="W1" s="8" t="inlineStr">
        <is>
          <t>Issuance criteria needed</t>
        </is>
      </c>
      <c r="X1" s="8" t="inlineStr">
        <is>
          <t>OGNL values</t>
        </is>
      </c>
      <c r="Y1" s="8" t="inlineStr">
        <is>
          <t>Okta-only groups</t>
        </is>
      </c>
      <c r="Z1" s="8" t="inlineStr">
        <is>
          <t>LDAP attributes</t>
        </is>
      </c>
      <c r="AA1" s="8" t="inlineStr">
        <is>
          <t>Missing directory inputs</t>
        </is>
      </c>
      <c r="AB1" s="8" t="inlineStr">
        <is>
          <t>Critical</t>
        </is>
      </c>
      <c r="AC1" s="8" t="inlineStr">
        <is>
          <t>Warning</t>
        </is>
      </c>
      <c r="AD1" s="8" t="inlineStr">
        <is>
          <t>Info</t>
        </is>
      </c>
      <c r="AE1" s="8" t="inlineStr">
        <is>
          <t>Assessment</t>
        </is>
      </c>
      <c r="AF1" s="8" t="inlineStr">
        <is>
          <t>Assessment review</t>
        </is>
      </c>
      <c r="AG1" s="8" t="inlineStr">
        <is>
          <t>Reviewed by</t>
        </is>
      </c>
      <c r="AH1" s="8" t="inlineStr">
        <is>
          <t>PingFederate build</t>
        </is>
      </c>
      <c r="AI1" s="8" t="inlineStr">
        <is>
          <t>Plan steps done</t>
        </is>
      </c>
      <c r="AJ1" s="8" t="inlineStr">
        <is>
          <t>Next plan step</t>
        </is>
      </c>
    </row>
    <row r="2">
      <c r="A2" s="9" t="inlineStr">
        <is>
          <t>0oa7employeeportal7</t>
        </is>
      </c>
      <c r="B2" s="9" t="inlineStr">
        <is>
          <t>Employee Portal</t>
        </is>
      </c>
      <c r="C2" s="9" t="inlineStr">
        <is>
          <t>OIDC</t>
        </is>
      </c>
      <c r="D2" s="9" t="inlineStr">
        <is>
          <t>Web</t>
        </is>
      </c>
      <c r="E2" s="9" t="inlineStr">
        <is>
          <t>ACTIVE</t>
        </is>
      </c>
      <c r="F2" s="9" t="inlineStr">
        <is>
          <t>DISCOVERED</t>
        </is>
      </c>
      <c r="G2" s="9" t="n">
        <v>25</v>
      </c>
      <c r="H2" s="9" t="n">
        <v>0</v>
      </c>
      <c r="I2" s="9" t="n">
        <v>1</v>
      </c>
      <c r="J2" s="9" t="n">
        <v>0</v>
      </c>
      <c r="K2" s="9" t="n">
        <v>6</v>
      </c>
      <c r="L2" s="9" t="inlineStr">
        <is>
          <t>MEDIUM</t>
        </is>
      </c>
      <c r="M2" s="9" t="n">
        <v>5</v>
      </c>
      <c r="N2" s="9" t="inlineStr">
        <is>
          <t>MEDIUM</t>
        </is>
      </c>
      <c r="O2" s="9" t="inlineStr">
        <is>
          <t>MEDIUM</t>
        </is>
      </c>
      <c r="P2" s="10" t="inlineStr">
        <is>
          <t>No</t>
        </is>
      </c>
      <c r="Q2" s="9" t="inlineStr">
        <is>
          <t>'</t>
        </is>
      </c>
      <c r="R2" s="9" t="inlineStr">
        <is>
          <t>Wave 1</t>
        </is>
      </c>
      <c r="S2" s="9" t="inlineStr">
        <is>
          <t>'</t>
        </is>
      </c>
      <c r="T2" s="9" t="inlineStr">
        <is>
          <t>'</t>
        </is>
      </c>
      <c r="U2" s="9" t="inlineStr">
        <is>
          <t>'</t>
        </is>
      </c>
      <c r="V2" s="9" t="inlineStr">
        <is>
          <t>Unknown</t>
        </is>
      </c>
      <c r="W2" s="10" t="inlineStr">
        <is>
          <t>Yes</t>
        </is>
      </c>
      <c r="X2" s="10" t="inlineStr">
        <is>
          <t>'</t>
        </is>
      </c>
      <c r="Y2" s="10" t="inlineStr">
        <is>
          <t>'</t>
        </is>
      </c>
      <c r="Z2" s="10" t="inlineStr">
        <is>
          <t>'</t>
        </is>
      </c>
      <c r="AA2" s="9" t="inlineStr">
        <is>
          <t>'</t>
        </is>
      </c>
      <c r="AB2" s="9" t="n">
        <v>0</v>
      </c>
      <c r="AC2" s="9" t="n">
        <v>2</v>
      </c>
      <c r="AD2" s="9" t="n">
        <v>4</v>
      </c>
      <c r="AE2" s="9" t="inlineStr">
        <is>
          <t>Not run</t>
        </is>
      </c>
      <c r="AF2" s="9" t="inlineStr">
        <is>
          <t>'</t>
        </is>
      </c>
      <c r="AG2" s="9" t="inlineStr">
        <is>
          <t>'</t>
        </is>
      </c>
      <c r="AH2" s="9" t="inlineStr">
        <is>
          <t>Built - differs</t>
        </is>
      </c>
      <c r="AI2" s="9" t="inlineStr">
        <is>
          <t>0/7</t>
        </is>
      </c>
      <c r="AJ2" s="9" t="inlineStr">
        <is>
          <t>Prepare directory &amp; decisions</t>
        </is>
      </c>
    </row>
    <row r="3">
      <c r="A3" s="9" t="inlineStr">
        <is>
          <t>0oa3engwiki00000003</t>
        </is>
      </c>
      <c r="B3" s="9" t="inlineStr">
        <is>
          <t>Engineering Wiki (Confluence DC)</t>
        </is>
      </c>
      <c r="C3" s="9" t="inlineStr">
        <is>
          <t>SAML</t>
        </is>
      </c>
      <c r="D3" s="9" t="inlineStr">
        <is>
          <t>Custom</t>
        </is>
      </c>
      <c r="E3" s="9" t="inlineStr">
        <is>
          <t>ACTIVE</t>
        </is>
      </c>
      <c r="F3" s="9" t="inlineStr">
        <is>
          <t>DISCOVERED</t>
        </is>
      </c>
      <c r="G3" s="9" t="n">
        <v>10</v>
      </c>
      <c r="H3" s="9" t="n">
        <v>0</v>
      </c>
      <c r="I3" s="9" t="n">
        <v>3</v>
      </c>
      <c r="J3" s="9" t="n">
        <v>4</v>
      </c>
      <c r="K3" s="9" t="n">
        <v>20</v>
      </c>
      <c r="L3" s="9" t="inlineStr">
        <is>
          <t>CRITICAL</t>
        </is>
      </c>
      <c r="M3" s="9" t="n">
        <v>5</v>
      </c>
      <c r="N3" s="9" t="inlineStr">
        <is>
          <t>MEDIUM</t>
        </is>
      </c>
      <c r="O3" s="9" t="inlineStr">
        <is>
          <t>CRITICAL</t>
        </is>
      </c>
      <c r="P3" s="10" t="inlineStr">
        <is>
          <t>Yes</t>
        </is>
      </c>
      <c r="Q3" s="9" t="inlineStr">
        <is>
          <t>CLAIM_NEEDS_OGNL</t>
        </is>
      </c>
      <c r="R3" s="9" t="inlineStr">
        <is>
          <t>Blocked</t>
        </is>
      </c>
      <c r="S3" s="9" t="inlineStr">
        <is>
          <t>'</t>
        </is>
      </c>
      <c r="T3" s="9" t="inlineStr">
        <is>
          <t>'</t>
        </is>
      </c>
      <c r="U3" s="9" t="inlineStr">
        <is>
          <t>'</t>
        </is>
      </c>
      <c r="V3" s="9" t="inlineStr">
        <is>
          <t>Unknown</t>
        </is>
      </c>
      <c r="W3" s="10" t="inlineStr">
        <is>
          <t>Yes</t>
        </is>
      </c>
      <c r="X3" s="10" t="inlineStr">
        <is>
          <t>fullName, wikiRole</t>
        </is>
      </c>
      <c r="Y3" s="10" t="inlineStr">
        <is>
          <t>ENG-Contractors</t>
        </is>
      </c>
      <c r="Z3" s="10" t="inlineStr">
        <is>
          <t>cn, department, givenName, mail, sn, userPrincipalName</t>
        </is>
      </c>
      <c r="AA3" s="9" t="inlineStr">
        <is>
          <t>'</t>
        </is>
      </c>
      <c r="AB3" s="9" t="n">
        <v>2</v>
      </c>
      <c r="AC3" s="9" t="n">
        <v>5</v>
      </c>
      <c r="AD3" s="9" t="n">
        <v>6</v>
      </c>
      <c r="AE3" s="9" t="inlineStr">
        <is>
          <t>VALID</t>
        </is>
      </c>
      <c r="AF3" s="9" t="inlineStr">
        <is>
          <t>PENDING</t>
        </is>
      </c>
      <c r="AG3" s="9" t="inlineStr">
        <is>
          <t>'</t>
        </is>
      </c>
      <c r="AH3" s="9" t="inlineStr">
        <is>
          <t>Built - differs</t>
        </is>
      </c>
      <c r="AI3" s="9" t="inlineStr">
        <is>
          <t>0/7</t>
        </is>
      </c>
      <c r="AJ3" s="9" t="inlineStr">
        <is>
          <t>Prepare directory &amp; decisions</t>
        </is>
      </c>
    </row>
    <row r="4">
      <c r="A4" s="9" t="inlineStr">
        <is>
          <t>0oa1expenseportal01</t>
        </is>
      </c>
      <c r="B4" s="9" t="inlineStr">
        <is>
          <t>Expense Portal</t>
        </is>
      </c>
      <c r="C4" s="9" t="inlineStr">
        <is>
          <t>SAML</t>
        </is>
      </c>
      <c r="D4" s="9" t="inlineStr">
        <is>
          <t>Custom</t>
        </is>
      </c>
      <c r="E4" s="9" t="inlineStr">
        <is>
          <t>ACTIVE</t>
        </is>
      </c>
      <c r="F4" s="9" t="inlineStr">
        <is>
          <t>DISCOVERED</t>
        </is>
      </c>
      <c r="G4" s="9" t="n">
        <v>25</v>
      </c>
      <c r="H4" s="9" t="n">
        <v>0</v>
      </c>
      <c r="I4" s="9" t="n">
        <v>1</v>
      </c>
      <c r="J4" s="9" t="n">
        <v>1</v>
      </c>
      <c r="K4" s="9" t="n">
        <v>4</v>
      </c>
      <c r="L4" s="9" t="inlineStr">
        <is>
          <t>LOW</t>
        </is>
      </c>
      <c r="M4" s="9" t="n">
        <v>5</v>
      </c>
      <c r="N4" s="9" t="inlineStr">
        <is>
          <t>MEDIUM</t>
        </is>
      </c>
      <c r="O4" s="9" t="inlineStr">
        <is>
          <t>MEDIUM</t>
        </is>
      </c>
      <c r="P4" s="10" t="inlineStr">
        <is>
          <t>Yes</t>
        </is>
      </c>
      <c r="Q4" s="9" t="inlineStr">
        <is>
          <t>DUPLICATE_SP_ENTITY_ID</t>
        </is>
      </c>
      <c r="R4" s="9" t="inlineStr">
        <is>
          <t>Blocked</t>
        </is>
      </c>
      <c r="S4" s="9" t="inlineStr">
        <is>
          <t>'</t>
        </is>
      </c>
      <c r="T4" s="9" t="inlineStr">
        <is>
          <t>'</t>
        </is>
      </c>
      <c r="U4" s="9" t="inlineStr">
        <is>
          <t>'</t>
        </is>
      </c>
      <c r="V4" s="9" t="inlineStr">
        <is>
          <t>Unknown</t>
        </is>
      </c>
      <c r="W4" s="10" t="inlineStr">
        <is>
          <t>Yes</t>
        </is>
      </c>
      <c r="X4" s="10" t="inlineStr">
        <is>
          <t>'</t>
        </is>
      </c>
      <c r="Y4" s="10" t="inlineStr">
        <is>
          <t>'</t>
        </is>
      </c>
      <c r="Z4" s="10" t="inlineStr">
        <is>
          <t>mail</t>
        </is>
      </c>
      <c r="AA4" s="9" t="inlineStr">
        <is>
          <t>'</t>
        </is>
      </c>
      <c r="AB4" s="9" t="n">
        <v>0</v>
      </c>
      <c r="AC4" s="9" t="n">
        <v>2</v>
      </c>
      <c r="AD4" s="9" t="n">
        <v>2</v>
      </c>
      <c r="AE4" s="9" t="inlineStr">
        <is>
          <t>VALID</t>
        </is>
      </c>
      <c r="AF4" s="9" t="inlineStr">
        <is>
          <t>PENDING</t>
        </is>
      </c>
      <c r="AG4" s="9" t="inlineStr">
        <is>
          <t>'</t>
        </is>
      </c>
      <c r="AH4" s="9" t="inlineStr">
        <is>
          <t>Built</t>
        </is>
      </c>
      <c r="AI4" s="9" t="inlineStr">
        <is>
          <t>0/7</t>
        </is>
      </c>
      <c r="AJ4" s="9" t="inlineStr">
        <is>
          <t>Prepare directory &amp; decisions</t>
        </is>
      </c>
    </row>
    <row r="5">
      <c r="A5" s="9" t="inlineStr">
        <is>
          <t>0oa1expenseuat00011</t>
        </is>
      </c>
      <c r="B5" s="9" t="inlineStr">
        <is>
          <t>Expense Portal (UAT)</t>
        </is>
      </c>
      <c r="C5" s="9" t="inlineStr">
        <is>
          <t>SAML</t>
        </is>
      </c>
      <c r="D5" s="9" t="inlineStr">
        <is>
          <t>Custom</t>
        </is>
      </c>
      <c r="E5" s="9" t="inlineStr">
        <is>
          <t>ACTIVE</t>
        </is>
      </c>
      <c r="F5" s="9" t="inlineStr">
        <is>
          <t>DISCOVERED</t>
        </is>
      </c>
      <c r="G5" s="9" t="n">
        <v>5</v>
      </c>
      <c r="H5" s="9" t="n">
        <v>0</v>
      </c>
      <c r="I5" s="9" t="n">
        <v>1</v>
      </c>
      <c r="J5" s="9" t="n">
        <v>1</v>
      </c>
      <c r="K5" s="9" t="n">
        <v>6</v>
      </c>
      <c r="L5" s="9" t="inlineStr">
        <is>
          <t>MEDIUM</t>
        </is>
      </c>
      <c r="M5" s="9" t="n">
        <v>4</v>
      </c>
      <c r="N5" s="9" t="inlineStr">
        <is>
          <t>MEDIUM</t>
        </is>
      </c>
      <c r="O5" s="9" t="inlineStr">
        <is>
          <t>MEDIUM</t>
        </is>
      </c>
      <c r="P5" s="10" t="inlineStr">
        <is>
          <t>Yes</t>
        </is>
      </c>
      <c r="Q5" s="9" t="inlineStr">
        <is>
          <t>DUPLICATE_SP_ENTITY_ID</t>
        </is>
      </c>
      <c r="R5" s="9" t="inlineStr">
        <is>
          <t>Decommission review</t>
        </is>
      </c>
      <c r="S5" s="9" t="inlineStr">
        <is>
          <t>'</t>
        </is>
      </c>
      <c r="T5" s="9" t="inlineStr">
        <is>
          <t>'</t>
        </is>
      </c>
      <c r="U5" s="9" t="inlineStr">
        <is>
          <t>'</t>
        </is>
      </c>
      <c r="V5" s="9" t="inlineStr">
        <is>
          <t>Unknown</t>
        </is>
      </c>
      <c r="W5" s="10" t="inlineStr">
        <is>
          <t>Yes</t>
        </is>
      </c>
      <c r="X5" s="10" t="inlineStr">
        <is>
          <t>'</t>
        </is>
      </c>
      <c r="Y5" s="10" t="inlineStr">
        <is>
          <t>Finance</t>
        </is>
      </c>
      <c r="Z5" s="10" t="inlineStr">
        <is>
          <t>mail</t>
        </is>
      </c>
      <c r="AA5" s="9" t="inlineStr">
        <is>
          <t>'</t>
        </is>
      </c>
      <c r="AB5" s="9" t="n">
        <v>0</v>
      </c>
      <c r="AC5" s="9" t="n">
        <v>4</v>
      </c>
      <c r="AD5" s="9" t="n">
        <v>1</v>
      </c>
      <c r="AE5" s="9" t="inlineStr">
        <is>
          <t>VALID</t>
        </is>
      </c>
      <c r="AF5" s="9" t="inlineStr">
        <is>
          <t>PENDING</t>
        </is>
      </c>
      <c r="AG5" s="9" t="inlineStr">
        <is>
          <t>'</t>
        </is>
      </c>
      <c r="AH5" s="9" t="inlineStr">
        <is>
          <t>Built - differs</t>
        </is>
      </c>
      <c r="AI5" s="9" t="inlineStr">
        <is>
          <t>0/7</t>
        </is>
      </c>
      <c r="AJ5" s="9" t="inlineStr">
        <is>
          <t>Prepare directory &amp; decisions</t>
        </is>
      </c>
    </row>
    <row r="6">
      <c r="A6" s="9" t="inlineStr">
        <is>
          <t>0oa2hranalytics0002</t>
        </is>
      </c>
      <c r="B6" s="9" t="inlineStr">
        <is>
          <t>HR Analytics (Tableau)</t>
        </is>
      </c>
      <c r="C6" s="9" t="inlineStr">
        <is>
          <t>SAML</t>
        </is>
      </c>
      <c r="D6" s="9" t="inlineStr">
        <is>
          <t>Custom</t>
        </is>
      </c>
      <c r="E6" s="9" t="inlineStr">
        <is>
          <t>ACTIVE</t>
        </is>
      </c>
      <c r="F6" s="9" t="inlineStr">
        <is>
          <t>DISCOVERED</t>
        </is>
      </c>
      <c r="G6" s="9" t="n">
        <v>5</v>
      </c>
      <c r="H6" s="9" t="n">
        <v>2</v>
      </c>
      <c r="I6" s="9" t="n">
        <v>1</v>
      </c>
      <c r="J6" s="9" t="n">
        <v>7</v>
      </c>
      <c r="K6" s="9" t="n">
        <v>15</v>
      </c>
      <c r="L6" s="9" t="inlineStr">
        <is>
          <t>HIGH</t>
        </is>
      </c>
      <c r="M6" s="9" t="n">
        <v>5</v>
      </c>
      <c r="N6" s="9" t="inlineStr">
        <is>
          <t>MEDIUM</t>
        </is>
      </c>
      <c r="O6" s="9" t="inlineStr">
        <is>
          <t>HIGH</t>
        </is>
      </c>
      <c r="P6" s="10" t="inlineStr">
        <is>
          <t>Yes</t>
        </is>
      </c>
      <c r="Q6" s="9" t="inlineStr">
        <is>
          <t>CLAIM_NEEDS_OGNL</t>
        </is>
      </c>
      <c r="R6" s="9" t="inlineStr">
        <is>
          <t>Blocked</t>
        </is>
      </c>
      <c r="S6" s="9" t="inlineStr">
        <is>
          <t>'</t>
        </is>
      </c>
      <c r="T6" s="9" t="inlineStr">
        <is>
          <t>'</t>
        </is>
      </c>
      <c r="U6" s="9" t="inlineStr">
        <is>
          <t>'</t>
        </is>
      </c>
      <c r="V6" s="9" t="inlineStr">
        <is>
          <t>Unknown</t>
        </is>
      </c>
      <c r="W6" s="10" t="inlineStr">
        <is>
          <t>Yes</t>
        </is>
      </c>
      <c r="X6" s="10" t="inlineStr">
        <is>
          <t>displayName, username</t>
        </is>
      </c>
      <c r="Y6" s="10" t="inlineStr">
        <is>
          <t>HR-Analysts</t>
        </is>
      </c>
      <c r="Z6" s="10" t="inlineStr">
        <is>
          <t>employeeID, givenName, mail, sn, userPrincipalName</t>
        </is>
      </c>
      <c r="AA6" s="9" t="inlineStr">
        <is>
          <t>appuser.costCenter</t>
        </is>
      </c>
      <c r="AB6" s="9" t="n">
        <v>2</v>
      </c>
      <c r="AC6" s="9" t="n">
        <v>6</v>
      </c>
      <c r="AD6" s="9" t="n">
        <v>1</v>
      </c>
      <c r="AE6" s="9" t="inlineStr">
        <is>
          <t>VALID</t>
        </is>
      </c>
      <c r="AF6" s="9" t="inlineStr">
        <is>
          <t>PENDING</t>
        </is>
      </c>
      <c r="AG6" s="9" t="inlineStr">
        <is>
          <t>'</t>
        </is>
      </c>
      <c r="AH6" s="9" t="inlineStr">
        <is>
          <t>Blocked</t>
        </is>
      </c>
      <c r="AI6" s="9" t="inlineStr">
        <is>
          <t>0/7</t>
        </is>
      </c>
      <c r="AJ6" s="9" t="inlineStr">
        <is>
          <t>Prepare directory &amp; decisions</t>
        </is>
      </c>
    </row>
    <row r="7">
      <c r="A7" s="9" t="inlineStr">
        <is>
          <t>0oa10legacyspa00010</t>
        </is>
      </c>
      <c r="B7" s="9" t="inlineStr">
        <is>
          <t>Legacy Intranet SPA</t>
        </is>
      </c>
      <c r="C7" s="9" t="inlineStr">
        <is>
          <t>OIDC</t>
        </is>
      </c>
      <c r="D7" s="9" t="inlineStr">
        <is>
          <t>Browser</t>
        </is>
      </c>
      <c r="E7" s="9" t="inlineStr">
        <is>
          <t>ACTIVE</t>
        </is>
      </c>
      <c r="F7" s="9" t="inlineStr">
        <is>
          <t>DISCOVERED</t>
        </is>
      </c>
      <c r="G7" s="9" t="n">
        <v>9</v>
      </c>
      <c r="H7" s="9" t="n">
        <v>1</v>
      </c>
      <c r="I7" s="9" t="n">
        <v>1</v>
      </c>
      <c r="J7" s="9" t="n">
        <v>0</v>
      </c>
      <c r="K7" s="9" t="n">
        <v>11</v>
      </c>
      <c r="L7" s="9" t="inlineStr">
        <is>
          <t>HIGH</t>
        </is>
      </c>
      <c r="M7" s="9" t="n">
        <v>4</v>
      </c>
      <c r="N7" s="9" t="inlineStr">
        <is>
          <t>MEDIUM</t>
        </is>
      </c>
      <c r="O7" s="9" t="inlineStr">
        <is>
          <t>HIGH</t>
        </is>
      </c>
      <c r="P7" s="10" t="inlineStr">
        <is>
          <t>No</t>
        </is>
      </c>
      <c r="Q7" s="9" t="inlineStr">
        <is>
          <t>'</t>
        </is>
      </c>
      <c r="R7" s="9" t="inlineStr">
        <is>
          <t>Decommission review</t>
        </is>
      </c>
      <c r="S7" s="9" t="inlineStr">
        <is>
          <t>'</t>
        </is>
      </c>
      <c r="T7" s="9" t="inlineStr">
        <is>
          <t>'</t>
        </is>
      </c>
      <c r="U7" s="9" t="inlineStr">
        <is>
          <t>'</t>
        </is>
      </c>
      <c r="V7" s="9" t="inlineStr">
        <is>
          <t>Unknown</t>
        </is>
      </c>
      <c r="W7" s="10" t="inlineStr">
        <is>
          <t>Yes</t>
        </is>
      </c>
      <c r="X7" s="10" t="inlineStr">
        <is>
          <t>'</t>
        </is>
      </c>
      <c r="Y7" s="10" t="inlineStr">
        <is>
          <t>Sales</t>
        </is>
      </c>
      <c r="Z7" s="10" t="inlineStr">
        <is>
          <t>'</t>
        </is>
      </c>
      <c r="AA7" s="9" t="inlineStr">
        <is>
          <t>'</t>
        </is>
      </c>
      <c r="AB7" s="9" t="n">
        <v>0</v>
      </c>
      <c r="AC7" s="9" t="n">
        <v>6</v>
      </c>
      <c r="AD7" s="9" t="n">
        <v>2</v>
      </c>
      <c r="AE7" s="9" t="inlineStr">
        <is>
          <t>Not run</t>
        </is>
      </c>
      <c r="AF7" s="9" t="inlineStr">
        <is>
          <t>'</t>
        </is>
      </c>
      <c r="AG7" s="9" t="inlineStr">
        <is>
          <t>'</t>
        </is>
      </c>
      <c r="AH7" s="9" t="inlineStr">
        <is>
          <t>Ready to build</t>
        </is>
      </c>
      <c r="AI7" s="9" t="inlineStr">
        <is>
          <t>0/7</t>
        </is>
      </c>
      <c r="AJ7" s="9" t="inlineStr">
        <is>
          <t>Prepare directory &amp; decisions</t>
        </is>
      </c>
    </row>
    <row r="8">
      <c r="A8" s="9" t="inlineStr">
        <is>
          <t>0oa6legacytravel006</t>
        </is>
      </c>
      <c r="B8" s="9" t="inlineStr">
        <is>
          <t>Legacy Travel Booking</t>
        </is>
      </c>
      <c r="C8" s="9" t="inlineStr">
        <is>
          <t>SAML</t>
        </is>
      </c>
      <c r="D8" s="9" t="inlineStr">
        <is>
          <t>Custom</t>
        </is>
      </c>
      <c r="E8" s="9" t="inlineStr">
        <is>
          <t>INACTIVE</t>
        </is>
      </c>
      <c r="F8" s="9" t="inlineStr">
        <is>
          <t>DISCOVERED</t>
        </is>
      </c>
      <c r="G8" s="9" t="n">
        <v>0</v>
      </c>
      <c r="H8" s="9" t="n">
        <v>0</v>
      </c>
      <c r="I8" s="9" t="n">
        <v>0</v>
      </c>
      <c r="J8" s="9" t="n">
        <v>1</v>
      </c>
      <c r="K8" s="9" t="n">
        <v>5</v>
      </c>
      <c r="L8" s="9" t="inlineStr">
        <is>
          <t>MEDIUM</t>
        </is>
      </c>
      <c r="M8" s="9" t="n">
        <v>0</v>
      </c>
      <c r="N8" s="9" t="inlineStr">
        <is>
          <t>LOW</t>
        </is>
      </c>
      <c r="O8" s="9" t="inlineStr">
        <is>
          <t>MEDIUM</t>
        </is>
      </c>
      <c r="P8" s="10" t="inlineStr">
        <is>
          <t>Yes</t>
        </is>
      </c>
      <c r="Q8" s="9" t="inlineStr">
        <is>
          <t>NAMEID_IS_OKTA_USER_ID</t>
        </is>
      </c>
      <c r="R8" s="9" t="inlineStr">
        <is>
          <t>Decommission review</t>
        </is>
      </c>
      <c r="S8" s="9" t="inlineStr">
        <is>
          <t>'</t>
        </is>
      </c>
      <c r="T8" s="9" t="inlineStr">
        <is>
          <t>'</t>
        </is>
      </c>
      <c r="U8" s="9" t="inlineStr">
        <is>
          <t>'</t>
        </is>
      </c>
      <c r="V8" s="9" t="inlineStr">
        <is>
          <t>Unknown</t>
        </is>
      </c>
      <c r="W8" s="10" t="inlineStr">
        <is>
          <t>No</t>
        </is>
      </c>
      <c r="X8" s="10" t="inlineStr">
        <is>
          <t>'</t>
        </is>
      </c>
      <c r="Y8" s="10" t="inlineStr">
        <is>
          <t>'</t>
        </is>
      </c>
      <c r="Z8" s="10" t="inlineStr">
        <is>
          <t>mail</t>
        </is>
      </c>
      <c r="AA8" s="9" t="inlineStr">
        <is>
          <t>user.id</t>
        </is>
      </c>
      <c r="AB8" s="9" t="n">
        <v>2</v>
      </c>
      <c r="AC8" s="9" t="n">
        <v>1</v>
      </c>
      <c r="AD8" s="9" t="n">
        <v>3</v>
      </c>
      <c r="AE8" s="9" t="inlineStr">
        <is>
          <t>VALID</t>
        </is>
      </c>
      <c r="AF8" s="9" t="inlineStr">
        <is>
          <t>PENDING</t>
        </is>
      </c>
      <c r="AG8" s="9" t="inlineStr">
        <is>
          <t>'</t>
        </is>
      </c>
      <c r="AH8" s="9" t="inlineStr">
        <is>
          <t>Blocked</t>
        </is>
      </c>
      <c r="AI8" s="9" t="inlineStr">
        <is>
          <t>0/7</t>
        </is>
      </c>
      <c r="AJ8" s="9" t="inlineStr">
        <is>
          <t>Prepare directory &amp; decisions</t>
        </is>
      </c>
    </row>
    <row r="9">
      <c r="A9" s="9" t="inlineStr">
        <is>
          <t>0oa8mobileexpense08</t>
        </is>
      </c>
      <c r="B9" s="9" t="inlineStr">
        <is>
          <t>Mobile Expenses</t>
        </is>
      </c>
      <c r="C9" s="9" t="inlineStr">
        <is>
          <t>OIDC</t>
        </is>
      </c>
      <c r="D9" s="9" t="inlineStr">
        <is>
          <t>Native</t>
        </is>
      </c>
      <c r="E9" s="9" t="inlineStr">
        <is>
          <t>ACTIVE</t>
        </is>
      </c>
      <c r="F9" s="9" t="inlineStr">
        <is>
          <t>DISCOVERED</t>
        </is>
      </c>
      <c r="G9" s="9" t="n">
        <v>5</v>
      </c>
      <c r="H9" s="9" t="n">
        <v>0</v>
      </c>
      <c r="I9" s="9" t="n">
        <v>1</v>
      </c>
      <c r="J9" s="9" t="n">
        <v>0</v>
      </c>
      <c r="K9" s="9" t="n">
        <v>6</v>
      </c>
      <c r="L9" s="9" t="inlineStr">
        <is>
          <t>MEDIUM</t>
        </is>
      </c>
      <c r="M9" s="9" t="n">
        <v>5</v>
      </c>
      <c r="N9" s="9" t="inlineStr">
        <is>
          <t>MEDIUM</t>
        </is>
      </c>
      <c r="O9" s="9" t="inlineStr">
        <is>
          <t>MEDIUM</t>
        </is>
      </c>
      <c r="P9" s="10" t="inlineStr">
        <is>
          <t>No</t>
        </is>
      </c>
      <c r="Q9" s="9" t="inlineStr">
        <is>
          <t>'</t>
        </is>
      </c>
      <c r="R9" s="9" t="inlineStr">
        <is>
          <t>Wave 1</t>
        </is>
      </c>
      <c r="S9" s="9" t="inlineStr">
        <is>
          <t>'</t>
        </is>
      </c>
      <c r="T9" s="9" t="inlineStr">
        <is>
          <t>'</t>
        </is>
      </c>
      <c r="U9" s="9" t="inlineStr">
        <is>
          <t>'</t>
        </is>
      </c>
      <c r="V9" s="9" t="inlineStr">
        <is>
          <t>Unknown</t>
        </is>
      </c>
      <c r="W9" s="10" t="inlineStr">
        <is>
          <t>Yes</t>
        </is>
      </c>
      <c r="X9" s="10" t="inlineStr">
        <is>
          <t>'</t>
        </is>
      </c>
      <c r="Y9" s="10" t="inlineStr">
        <is>
          <t>Finance</t>
        </is>
      </c>
      <c r="Z9" s="10" t="inlineStr">
        <is>
          <t>'</t>
        </is>
      </c>
      <c r="AA9" s="9" t="inlineStr">
        <is>
          <t>'</t>
        </is>
      </c>
      <c r="AB9" s="9" t="n">
        <v>0</v>
      </c>
      <c r="AC9" s="9" t="n">
        <v>2</v>
      </c>
      <c r="AD9" s="9" t="n">
        <v>3</v>
      </c>
      <c r="AE9" s="9" t="inlineStr">
        <is>
          <t>Not run</t>
        </is>
      </c>
      <c r="AF9" s="9" t="inlineStr">
        <is>
          <t>'</t>
        </is>
      </c>
      <c r="AG9" s="9" t="inlineStr">
        <is>
          <t>'</t>
        </is>
      </c>
      <c r="AH9" s="9" t="inlineStr">
        <is>
          <t>Ready to build</t>
        </is>
      </c>
      <c r="AI9" s="9" t="inlineStr">
        <is>
          <t>0/7</t>
        </is>
      </c>
      <c r="AJ9" s="9" t="inlineStr">
        <is>
          <t>Prepare directory &amp; decisions</t>
        </is>
      </c>
    </row>
    <row r="10">
      <c r="A10" s="9" t="inlineStr">
        <is>
          <t>0oa9reportingapi009</t>
        </is>
      </c>
      <c r="B10" s="9" t="inlineStr">
        <is>
          <t>Reporting API</t>
        </is>
      </c>
      <c r="C10" s="9" t="inlineStr">
        <is>
          <t>OIDC</t>
        </is>
      </c>
      <c r="D10" s="9" t="inlineStr">
        <is>
          <t>Service</t>
        </is>
      </c>
      <c r="E10" s="9" t="inlineStr">
        <is>
          <t>ACTIVE</t>
        </is>
      </c>
      <c r="F10" s="9" t="inlineStr">
        <is>
          <t>DISCOVERED</t>
        </is>
      </c>
      <c r="G10" s="9" t="n">
        <v>0</v>
      </c>
      <c r="H10" s="9" t="n">
        <v>0</v>
      </c>
      <c r="I10" s="9" t="n">
        <v>0</v>
      </c>
      <c r="J10" s="9" t="n">
        <v>0</v>
      </c>
      <c r="K10" s="9" t="n">
        <v>2</v>
      </c>
      <c r="L10" s="9" t="inlineStr">
        <is>
          <t>LOW</t>
        </is>
      </c>
      <c r="M10" s="9" t="n">
        <v>4</v>
      </c>
      <c r="N10" s="9" t="inlineStr">
        <is>
          <t>MEDIUM</t>
        </is>
      </c>
      <c r="O10" s="9" t="inlineStr">
        <is>
          <t>MEDIUM</t>
        </is>
      </c>
      <c r="P10" s="10" t="inlineStr">
        <is>
          <t>No</t>
        </is>
      </c>
      <c r="Q10" s="9" t="inlineStr">
        <is>
          <t>'</t>
        </is>
      </c>
      <c r="R10" s="9" t="inlineStr">
        <is>
          <t>Wave 1</t>
        </is>
      </c>
      <c r="S10" s="9" t="inlineStr">
        <is>
          <t>'</t>
        </is>
      </c>
      <c r="T10" s="9" t="inlineStr">
        <is>
          <t>'</t>
        </is>
      </c>
      <c r="U10" s="9" t="inlineStr">
        <is>
          <t>'</t>
        </is>
      </c>
      <c r="V10" s="9" t="inlineStr">
        <is>
          <t>Unknown</t>
        </is>
      </c>
      <c r="W10" s="10" t="inlineStr">
        <is>
          <t>No</t>
        </is>
      </c>
      <c r="X10" s="10" t="inlineStr">
        <is>
          <t>'</t>
        </is>
      </c>
      <c r="Y10" s="10" t="inlineStr">
        <is>
          <t>'</t>
        </is>
      </c>
      <c r="Z10" s="10" t="inlineStr">
        <is>
          <t>'</t>
        </is>
      </c>
      <c r="AA10" s="9" t="inlineStr">
        <is>
          <t>'</t>
        </is>
      </c>
      <c r="AB10" s="9" t="n">
        <v>0</v>
      </c>
      <c r="AC10" s="9" t="n">
        <v>0</v>
      </c>
      <c r="AD10" s="9" t="n">
        <v>4</v>
      </c>
      <c r="AE10" s="9" t="inlineStr">
        <is>
          <t>Not run</t>
        </is>
      </c>
      <c r="AF10" s="9" t="inlineStr">
        <is>
          <t>'</t>
        </is>
      </c>
      <c r="AG10" s="9" t="inlineStr">
        <is>
          <t>'</t>
        </is>
      </c>
      <c r="AH10" s="9" t="inlineStr">
        <is>
          <t>Built</t>
        </is>
      </c>
      <c r="AI10" s="9" t="inlineStr">
        <is>
          <t>0/7</t>
        </is>
      </c>
      <c r="AJ10" s="9" t="inlineStr">
        <is>
          <t>Prepare directory &amp; decisions</t>
        </is>
      </c>
    </row>
    <row r="11">
      <c r="A11" s="9" t="inlineStr">
        <is>
          <t>0oa5salesforce00005</t>
        </is>
      </c>
      <c r="B11" s="9" t="inlineStr">
        <is>
          <t>Salesforce</t>
        </is>
      </c>
      <c r="C11" s="9" t="inlineStr">
        <is>
          <t>SAML</t>
        </is>
      </c>
      <c r="D11" s="9" t="inlineStr">
        <is>
          <t>Catalog</t>
        </is>
      </c>
      <c r="E11" s="9" t="inlineStr">
        <is>
          <t>ACTIVE</t>
        </is>
      </c>
      <c r="F11" s="9" t="inlineStr">
        <is>
          <t>DISCOVERED</t>
        </is>
      </c>
      <c r="G11" s="9" t="n">
        <v>8</v>
      </c>
      <c r="H11" s="9" t="n">
        <v>0</v>
      </c>
      <c r="I11" s="9" t="n">
        <v>1</v>
      </c>
      <c r="J11" s="9" t="n">
        <v>0</v>
      </c>
      <c r="K11" s="9" t="n">
        <v>10</v>
      </c>
      <c r="L11" s="9" t="inlineStr">
        <is>
          <t>HIGH</t>
        </is>
      </c>
      <c r="M11" s="9" t="n">
        <v>5</v>
      </c>
      <c r="N11" s="9" t="inlineStr">
        <is>
          <t>MEDIUM</t>
        </is>
      </c>
      <c r="O11" s="9" t="inlineStr">
        <is>
          <t>HIGH</t>
        </is>
      </c>
      <c r="P11" s="10" t="inlineStr">
        <is>
          <t>No</t>
        </is>
      </c>
      <c r="Q11" s="9" t="inlineStr">
        <is>
          <t>'</t>
        </is>
      </c>
      <c r="R11" s="9" t="inlineStr">
        <is>
          <t>Wave 2</t>
        </is>
      </c>
      <c r="S11" s="9" t="inlineStr">
        <is>
          <t>'</t>
        </is>
      </c>
      <c r="T11" s="9" t="inlineStr">
        <is>
          <t>'</t>
        </is>
      </c>
      <c r="U11" s="9" t="inlineStr">
        <is>
          <t>'</t>
        </is>
      </c>
      <c r="V11" s="9" t="inlineStr">
        <is>
          <t>Unknown</t>
        </is>
      </c>
      <c r="W11" s="10" t="inlineStr">
        <is>
          <t>Yes</t>
        </is>
      </c>
      <c r="X11" s="10" t="inlineStr">
        <is>
          <t>'</t>
        </is>
      </c>
      <c r="Y11" s="10" t="inlineStr">
        <is>
          <t>Sales</t>
        </is>
      </c>
      <c r="Z11" s="10" t="inlineStr">
        <is>
          <t>'</t>
        </is>
      </c>
      <c r="AA11" s="9" t="inlineStr">
        <is>
          <t>'</t>
        </is>
      </c>
      <c r="AB11" s="9" t="n">
        <v>0</v>
      </c>
      <c r="AC11" s="9" t="n">
        <v>4</v>
      </c>
      <c r="AD11" s="9" t="n">
        <v>0</v>
      </c>
      <c r="AE11" s="9" t="inlineStr">
        <is>
          <t>VALID</t>
        </is>
      </c>
      <c r="AF11" s="9" t="inlineStr">
        <is>
          <t>PENDING</t>
        </is>
      </c>
      <c r="AG11" s="9" t="inlineStr">
        <is>
          <t>'</t>
        </is>
      </c>
      <c r="AH11" s="9" t="inlineStr">
        <is>
          <t>Ready to build</t>
        </is>
      </c>
      <c r="AI11" s="9" t="inlineStr">
        <is>
          <t>0/7</t>
        </is>
      </c>
      <c r="AJ11" s="9" t="inlineStr">
        <is>
          <t>Prepare directory &amp; decisions</t>
        </is>
      </c>
    </row>
    <row r="12">
      <c r="A12" s="9" t="inlineStr">
        <is>
          <t>0oa4servicenow00004</t>
        </is>
      </c>
      <c r="B12" s="9" t="inlineStr">
        <is>
          <t>ServiceNow</t>
        </is>
      </c>
      <c r="C12" s="9" t="inlineStr">
        <is>
          <t>SAML</t>
        </is>
      </c>
      <c r="D12" s="9" t="inlineStr">
        <is>
          <t>Catalog</t>
        </is>
      </c>
      <c r="E12" s="9" t="inlineStr">
        <is>
          <t>ACTIVE</t>
        </is>
      </c>
      <c r="F12" s="9" t="inlineStr">
        <is>
          <t>DISCOVERED</t>
        </is>
      </c>
      <c r="G12" s="9" t="n">
        <v>12</v>
      </c>
      <c r="H12" s="9" t="n">
        <v>0</v>
      </c>
      <c r="I12" s="9" t="n">
        <v>2</v>
      </c>
      <c r="J12" s="9" t="n">
        <v>0</v>
      </c>
      <c r="K12" s="9" t="n">
        <v>8</v>
      </c>
      <c r="L12" s="9" t="inlineStr">
        <is>
          <t>MEDIUM</t>
        </is>
      </c>
      <c r="M12" s="9" t="n">
        <v>5</v>
      </c>
      <c r="N12" s="9" t="inlineStr">
        <is>
          <t>MEDIUM</t>
        </is>
      </c>
      <c r="O12" s="9" t="inlineStr">
        <is>
          <t>MEDIUM</t>
        </is>
      </c>
      <c r="P12" s="10" t="inlineStr">
        <is>
          <t>No</t>
        </is>
      </c>
      <c r="Q12" s="9" t="inlineStr">
        <is>
          <t>'</t>
        </is>
      </c>
      <c r="R12" s="9" t="inlineStr">
        <is>
          <t>Wave 1</t>
        </is>
      </c>
      <c r="S12" s="9" t="inlineStr">
        <is>
          <t>'</t>
        </is>
      </c>
      <c r="T12" s="9" t="inlineStr">
        <is>
          <t>'</t>
        </is>
      </c>
      <c r="U12" s="9" t="inlineStr">
        <is>
          <t>'</t>
        </is>
      </c>
      <c r="V12" s="9" t="inlineStr">
        <is>
          <t>Unknown</t>
        </is>
      </c>
      <c r="W12" s="10" t="inlineStr">
        <is>
          <t>Yes</t>
        </is>
      </c>
      <c r="X12" s="10" t="inlineStr">
        <is>
          <t>'</t>
        </is>
      </c>
      <c r="Y12" s="10" t="inlineStr">
        <is>
          <t>SN-Approvers, SN-ITIL</t>
        </is>
      </c>
      <c r="Z12" s="10" t="inlineStr">
        <is>
          <t>'</t>
        </is>
      </c>
      <c r="AA12" s="9" t="inlineStr">
        <is>
          <t>'</t>
        </is>
      </c>
      <c r="AB12" s="9" t="n">
        <v>0</v>
      </c>
      <c r="AC12" s="9" t="n">
        <v>3</v>
      </c>
      <c r="AD12" s="9" t="n">
        <v>0</v>
      </c>
      <c r="AE12" s="9" t="inlineStr">
        <is>
          <t>VALID</t>
        </is>
      </c>
      <c r="AF12" s="9" t="inlineStr">
        <is>
          <t>PENDING</t>
        </is>
      </c>
      <c r="AG12" s="9" t="inlineStr">
        <is>
          <t>'</t>
        </is>
      </c>
      <c r="AH12" s="9" t="inlineStr">
        <is>
          <t>Built</t>
        </is>
      </c>
      <c r="AI12" s="9" t="inlineStr">
        <is>
          <t>0/7</t>
        </is>
      </c>
      <c r="AJ12" s="9" t="inlineStr">
        <is>
          <t>Prepare directory &amp; decisions</t>
        </is>
      </c>
    </row>
  </sheetData>
  <autoFilter ref="A1:AJ12"/>
  <conditionalFormatting sqref="L2:L12">
    <cfRule type="expression" priority="1" dxfId="0">
      <formula>$L2="LOW"</formula>
    </cfRule>
    <cfRule type="expression" priority="2" dxfId="1">
      <formula>$L2="MEDIUM"</formula>
    </cfRule>
    <cfRule type="expression" priority="3" dxfId="2">
      <formula>$L2="HIGH"</formula>
    </cfRule>
    <cfRule type="expression" priority="4" dxfId="3">
      <formula>$L2="CRITICAL"</formula>
    </cfRule>
  </conditionalFormatting>
  <conditionalFormatting sqref="N2:N12">
    <cfRule type="expression" priority="5" dxfId="0">
      <formula>$N2="LOW"</formula>
    </cfRule>
    <cfRule type="expression" priority="6" dxfId="1">
      <formula>$N2="MEDIUM"</formula>
    </cfRule>
    <cfRule type="expression" priority="7" dxfId="2">
      <formula>$N2="HIGH"</formula>
    </cfRule>
    <cfRule type="expression" priority="8" dxfId="3">
      <formula>$N2="CRITICAL"</formula>
    </cfRule>
  </conditionalFormatting>
  <conditionalFormatting sqref="O2:O12">
    <cfRule type="expression" priority="9" dxfId="0">
      <formula>$O2="LOW"</formula>
    </cfRule>
    <cfRule type="expression" priority="10" dxfId="1">
      <formula>$O2="MEDIUM"</formula>
    </cfRule>
    <cfRule type="expression" priority="11" dxfId="2">
      <formula>$O2="HIGH"</formula>
    </cfRule>
    <cfRule type="expression" priority="12" dxfId="3">
      <formula>$O2="CRITICAL"</formula>
    </cfRule>
  </conditionalFormatting>
  <conditionalFormatting sqref="P2:P12">
    <cfRule type="expression" priority="13" dxfId="3">
      <formula>$P2="Yes"</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0"/>
  <sheetViews>
    <sheetView showGridLines="1" workbookViewId="0">
      <pane ySplit="1" topLeftCell="A2" activePane="bottomLeft" state="frozen"/>
      <selection pane="bottomLeft" activeCell="A1" sqref="A1"/>
    </sheetView>
  </sheetViews>
  <sheetFormatPr baseColWidth="8" defaultRowHeight="15"/>
  <cols>
    <col width="28" customWidth="1" min="1" max="1"/>
    <col width="18" customWidth="1" min="2" max="2"/>
    <col width="26" customWidth="1" min="3" max="3"/>
    <col width="44" customWidth="1" min="4" max="4"/>
    <col width="40" customWidth="1" min="5" max="5"/>
    <col width="44" customWidth="1" min="6" max="6"/>
    <col width="12" customWidth="1" min="7" max="7"/>
    <col width="40" customWidth="1" min="8" max="8"/>
  </cols>
  <sheetData>
    <row r="1" ht="30" customHeight="1">
      <c r="A1" s="8" t="inlineStr">
        <is>
          <t>Application</t>
        </is>
      </c>
      <c r="B1" s="8" t="inlineStr">
        <is>
          <t>Section</t>
        </is>
      </c>
      <c r="C1" s="8" t="inlineStr">
        <is>
          <t>Field</t>
        </is>
      </c>
      <c r="D1" s="8" t="inlineStr">
        <is>
          <t>Okta value</t>
        </is>
      </c>
      <c r="E1" s="8" t="inlineStr">
        <is>
          <t>PingFederate setting</t>
        </is>
      </c>
      <c r="F1" s="8" t="inlineStr">
        <is>
          <t>PingFederate value</t>
        </is>
      </c>
      <c r="G1" s="8" t="inlineStr">
        <is>
          <t>Status</t>
        </is>
      </c>
      <c r="H1" s="8" t="inlineStr">
        <is>
          <t>Note</t>
        </is>
      </c>
    </row>
    <row r="2">
      <c r="A2" s="9" t="inlineStr">
        <is>
          <t>Engineering Wiki (Confluence DC)</t>
        </is>
      </c>
      <c r="B2" s="9" t="inlineStr">
        <is>
          <t>SP connection</t>
        </is>
      </c>
      <c r="C2" s="9" t="inlineStr">
        <is>
          <t>Connection name</t>
        </is>
      </c>
      <c r="D2" s="10" t="inlineStr">
        <is>
          <t>Engineering Wiki (Confluence DC)</t>
        </is>
      </c>
      <c r="E2" s="10" t="inlineStr">
        <is>
          <t>SP Connection &gt; General Info &gt; Connection Name</t>
        </is>
      </c>
      <c r="F2" s="10" t="inlineStr">
        <is>
          <t>Engineering Wiki (Confluence DC)</t>
        </is>
      </c>
      <c r="G2" s="9" t="inlineStr">
        <is>
          <t>CONFIGURE</t>
        </is>
      </c>
      <c r="H2" s="10" t="inlineStr">
        <is>
          <t>'</t>
        </is>
      </c>
    </row>
    <row r="3">
      <c r="A3" s="9" t="inlineStr">
        <is>
          <t>Engineering Wiki (Confluence DC)</t>
        </is>
      </c>
      <c r="B3" s="9" t="inlineStr">
        <is>
          <t>SP connection</t>
        </is>
      </c>
      <c r="C3" s="9" t="inlineStr">
        <is>
          <t>SP entity ID</t>
        </is>
      </c>
      <c r="D3" s="10" t="inlineStr">
        <is>
          <t>https://wiki.northwind.example</t>
        </is>
      </c>
      <c r="E3" s="10" t="inlineStr">
        <is>
          <t>Partner's Entity ID (Connection ID)</t>
        </is>
      </c>
      <c r="F3" s="10" t="inlineStr">
        <is>
          <t>https://wiki.northwind.example</t>
        </is>
      </c>
      <c r="G3" s="9" t="inlineStr">
        <is>
          <t>SAME</t>
        </is>
      </c>
      <c r="H3" s="10" t="inlineStr">
        <is>
          <t>'</t>
        </is>
      </c>
    </row>
    <row r="4">
      <c r="A4" s="9" t="inlineStr">
        <is>
          <t>Engineering Wiki (Confluence DC)</t>
        </is>
      </c>
      <c r="B4" s="9" t="inlineStr">
        <is>
          <t>SP connection</t>
        </is>
      </c>
      <c r="C4" s="9" t="inlineStr">
        <is>
          <t>Okta app status</t>
        </is>
      </c>
      <c r="D4" s="10" t="inlineStr">
        <is>
          <t>ACTIVE</t>
        </is>
      </c>
      <c r="E4" s="10" t="inlineStr">
        <is>
          <t>Connection status</t>
        </is>
      </c>
      <c r="F4" s="10" t="inlineStr">
        <is>
          <t>Active</t>
        </is>
      </c>
      <c r="G4" s="9" t="inlineStr">
        <is>
          <t>SAME</t>
        </is>
      </c>
      <c r="H4" s="10" t="inlineStr">
        <is>
          <t>'</t>
        </is>
      </c>
    </row>
    <row r="5">
      <c r="A5" s="9" t="inlineStr">
        <is>
          <t>Engineering Wiki (Confluence DC)</t>
        </is>
      </c>
      <c r="B5" s="9" t="inlineStr">
        <is>
          <t>SP connection</t>
        </is>
      </c>
      <c r="C5" s="9" t="inlineStr">
        <is>
          <t>ACS URL (index 0)</t>
        </is>
      </c>
      <c r="D5" s="10" t="inlineStr">
        <is>
          <t>https://wiki.northwind.example/plugins/servlet/samlconsumer</t>
        </is>
      </c>
      <c r="E5" s="10" t="inlineStr">
        <is>
          <t>Protocol Settings &gt; Assertion Consumer Service URL (HTTP-POST)</t>
        </is>
      </c>
      <c r="F5" s="10" t="inlineStr">
        <is>
          <t>https://wiki.northwind.example/plugins/servlet/samlconsumer</t>
        </is>
      </c>
      <c r="G5" s="9" t="inlineStr">
        <is>
          <t>SAME</t>
        </is>
      </c>
      <c r="H5" s="10" t="inlineStr">
        <is>
          <t>Set 'Default' on index 0</t>
        </is>
      </c>
    </row>
    <row r="6">
      <c r="A6" s="9" t="inlineStr">
        <is>
          <t>Engineering Wiki (Confluence DC)</t>
        </is>
      </c>
      <c r="B6" s="9" t="inlineStr">
        <is>
          <t>SP connection</t>
        </is>
      </c>
      <c r="C6" s="9" t="inlineStr">
        <is>
          <t>ACS URL (index 1)</t>
        </is>
      </c>
      <c r="D6" s="10" t="inlineStr">
        <is>
          <t>https://wiki-dr.northwind.example/plugins/servlet/samlconsumer</t>
        </is>
      </c>
      <c r="E6" s="10" t="inlineStr">
        <is>
          <t>Protocol Settings &gt; Assertion Consumer Service URL (HTTP-POST)</t>
        </is>
      </c>
      <c r="F6" s="10" t="inlineStr">
        <is>
          <t>https://wiki-dr.northwind.example/plugins/servlet/samlconsumer</t>
        </is>
      </c>
      <c r="G6" s="9" t="inlineStr">
        <is>
          <t>SAME</t>
        </is>
      </c>
      <c r="H6" s="10" t="inlineStr">
        <is>
          <t>'</t>
        </is>
      </c>
    </row>
    <row r="7">
      <c r="A7" s="9" t="inlineStr">
        <is>
          <t>Engineering Wiki (Confluence DC)</t>
        </is>
      </c>
      <c r="B7" s="9" t="inlineStr">
        <is>
          <t>SP connection</t>
        </is>
      </c>
      <c r="C7" s="9" t="inlineStr">
        <is>
          <t>Default RelayState</t>
        </is>
      </c>
      <c r="D7" s="10" t="inlineStr">
        <is>
          <t>https://wiki.northwind.example/dashboard.action</t>
        </is>
      </c>
      <c r="E7" s="10" t="inlineStr">
        <is>
          <t>IdP-initiated SSO TargetResource</t>
        </is>
      </c>
      <c r="F7" s="10" t="inlineStr">
        <is>
          <t>https://wiki.northwind.example/dashboard.action</t>
        </is>
      </c>
      <c r="G7" s="9" t="inlineStr">
        <is>
          <t>SAME</t>
        </is>
      </c>
      <c r="H7" s="10" t="inlineStr">
        <is>
          <t>'</t>
        </is>
      </c>
    </row>
    <row r="8">
      <c r="A8" s="9" t="inlineStr">
        <is>
          <t>Engineering Wiki (Confluence DC)</t>
        </is>
      </c>
      <c r="B8" s="9" t="inlineStr">
        <is>
          <t>SP connection</t>
        </is>
      </c>
      <c r="C8" s="9" t="inlineStr">
        <is>
          <t>Single logout</t>
        </is>
      </c>
      <c r="D8" s="10" t="inlineStr">
        <is>
          <t>Yes (https://wiki.northwind.example/plugins/servlet/samlslo)</t>
        </is>
      </c>
      <c r="E8" s="10" t="inlineStr">
        <is>
          <t>Protocol Settings &gt; SLO Service URL</t>
        </is>
      </c>
      <c r="F8" s="10" t="inlineStr">
        <is>
          <t>https://wiki.northwind.example/plugins/servlet/samlslo</t>
        </is>
      </c>
      <c r="G8" s="9" t="inlineStr">
        <is>
          <t>CONFIGURE</t>
        </is>
      </c>
      <c r="H8" s="10" t="inlineStr">
        <is>
          <t>'</t>
        </is>
      </c>
    </row>
    <row r="9">
      <c r="A9" s="9" t="inlineStr">
        <is>
          <t>Engineering Wiki (Confluence DC)</t>
        </is>
      </c>
      <c r="B9" s="9" t="inlineStr">
        <is>
          <t>SP connection</t>
        </is>
      </c>
      <c r="C9" s="9" t="inlineStr">
        <is>
          <t>Signed AuthnRequests</t>
        </is>
      </c>
      <c r="D9" s="10" t="inlineStr">
        <is>
          <t>Yes</t>
        </is>
      </c>
      <c r="E9" s="10" t="inlineStr">
        <is>
          <t>Signature Verification &gt; require signed AuthnRequests + SP certificate</t>
        </is>
      </c>
      <c r="F9" s="10" t="inlineStr">
        <is>
          <t>Import SP signing certificate</t>
        </is>
      </c>
      <c r="G9" s="9" t="inlineStr">
        <is>
          <t>CONFIGURE</t>
        </is>
      </c>
      <c r="H9" s="10" t="inlineStr">
        <is>
          <t>'</t>
        </is>
      </c>
    </row>
    <row r="10">
      <c r="A10" s="9" t="inlineStr">
        <is>
          <t>Engineering Wiki (Confluence DC)</t>
        </is>
      </c>
      <c r="B10" s="9" t="inlineStr">
        <is>
          <t>IdP identity</t>
        </is>
      </c>
      <c r="C10" s="9" t="inlineStr">
        <is>
          <t>IdP entity ID (Issuer)</t>
        </is>
      </c>
      <c r="D10" s="10" t="inlineStr">
        <is>
          <t>https://sso.northwind.example/wiki</t>
        </is>
      </c>
      <c r="E10" s="10" t="inlineStr">
        <is>
          <t>Virtual Server ID on the connection</t>
        </is>
      </c>
      <c r="F10" s="10" t="inlineStr">
        <is>
          <t>https://sso.northwind.example/wiki</t>
        </is>
      </c>
      <c r="G10" s="9" t="inlineStr">
        <is>
          <t>ACTION</t>
        </is>
      </c>
      <c r="H10" s="10" t="inlineStr">
        <is>
          <t>Add the custom issuer as a virtual server ID so the SP needs no change</t>
        </is>
      </c>
    </row>
    <row r="11">
      <c r="A11" s="9" t="inlineStr">
        <is>
          <t>Engineering Wiki (Confluence DC)</t>
        </is>
      </c>
      <c r="B11" s="9" t="inlineStr">
        <is>
          <t>IdP identity</t>
        </is>
      </c>
      <c r="C11" s="9" t="inlineStr">
        <is>
          <t>SSO URL</t>
        </is>
      </c>
      <c r="D11" s="10" t="inlineStr">
        <is>
          <t>https://northwind.okta.com/app/northwind_engwiki_1/exk3engwiki00000003/sso/saml</t>
        </is>
      </c>
      <c r="E11" s="10" t="inlineStr">
        <is>
          <t>Runtime SSO endpoint</t>
        </is>
      </c>
      <c r="F11" s="10" t="inlineStr">
        <is>
          <t>https://sso.example.com/idp/SSO.saml2</t>
        </is>
      </c>
      <c r="G11" s="9" t="inlineStr">
        <is>
          <t>SP_UPDATE</t>
        </is>
      </c>
      <c r="H11" s="10" t="inlineStr">
        <is>
          <t>'</t>
        </is>
      </c>
    </row>
    <row r="12">
      <c r="A12" s="9" t="inlineStr">
        <is>
          <t>Engineering Wiki (Confluence DC)</t>
        </is>
      </c>
      <c r="B12" s="9" t="inlineStr">
        <is>
          <t>IdP identity</t>
        </is>
      </c>
      <c r="C12" s="9" t="inlineStr">
        <is>
          <t>IdP-initiated SSO link</t>
        </is>
      </c>
      <c r="D12" s="10" t="inlineStr">
        <is>
          <t>Okta app embed link</t>
        </is>
      </c>
      <c r="E12" s="10" t="inlineStr">
        <is>
          <t>IdP-initiated SSO URL</t>
        </is>
      </c>
      <c r="F12" s="10" t="inlineStr">
        <is>
          <t>https://sso.example.com/idp/startSSO.ping?PartnerSpId=https%3A%2F%2Fwiki.northwind.example</t>
        </is>
      </c>
      <c r="G12" s="9" t="inlineStr">
        <is>
          <t>SP_UPDATE</t>
        </is>
      </c>
      <c r="H12" s="10" t="inlineStr">
        <is>
          <t>Update portal bookmarks and links</t>
        </is>
      </c>
    </row>
    <row r="13">
      <c r="A13" s="9" t="inlineStr">
        <is>
          <t>Engineering Wiki (Confluence DC)</t>
        </is>
      </c>
      <c r="B13" s="9" t="inlineStr">
        <is>
          <t>IdP identity</t>
        </is>
      </c>
      <c r="C13" s="9" t="inlineStr">
        <is>
          <t>IdP metadata</t>
        </is>
      </c>
      <c r="D13" s="10" t="inlineStr">
        <is>
          <t>Okta app metadata URL</t>
        </is>
      </c>
      <c r="E13" s="10" t="inlineStr">
        <is>
          <t>Metadata export URL</t>
        </is>
      </c>
      <c r="F13" s="10" t="inlineStr">
        <is>
          <t>https://sso.example.com/pf/federation_metadata.ping?PartnerSpId=https%3A%2F%2Fwiki.northwind.example</t>
        </is>
      </c>
      <c r="G13" s="9" t="inlineStr">
        <is>
          <t>SP_UPDATE</t>
        </is>
      </c>
      <c r="H13" s="10" t="inlineStr">
        <is>
          <t>'</t>
        </is>
      </c>
    </row>
    <row r="14">
      <c r="A14" s="9" t="inlineStr">
        <is>
          <t>Engineering Wiki (Confluence DC)</t>
        </is>
      </c>
      <c r="B14" s="9" t="inlineStr">
        <is>
          <t>IdP identity</t>
        </is>
      </c>
      <c r="C14" s="9" t="inlineStr">
        <is>
          <t>IdP SLO URL</t>
        </is>
      </c>
      <c r="D14" s="10" t="inlineStr">
        <is>
          <t>Okta SLO endpoint</t>
        </is>
      </c>
      <c r="E14" s="10" t="inlineStr">
        <is>
          <t>Runtime SLO endpoint</t>
        </is>
      </c>
      <c r="F14" s="10" t="inlineStr">
        <is>
          <t>https://sso.example.com/idp/SLO.saml2</t>
        </is>
      </c>
      <c r="G14" s="9" t="inlineStr">
        <is>
          <t>SP_UPDATE</t>
        </is>
      </c>
      <c r="H14" s="10" t="inlineStr">
        <is>
          <t>'</t>
        </is>
      </c>
    </row>
    <row r="15">
      <c r="A15" s="9" t="inlineStr">
        <is>
          <t>Engineering Wiki (Confluence DC)</t>
        </is>
      </c>
      <c r="B15" s="9" t="inlineStr">
        <is>
          <t>IdP identity</t>
        </is>
      </c>
      <c r="C15" s="9" t="inlineStr">
        <is>
          <t>Signing certificate</t>
        </is>
      </c>
      <c r="D15" s="10" t="inlineStr">
        <is>
          <t>8AAB226AFED6E2162ECAAA62A323DC594B34A5EB (expires 2028-01-15)</t>
        </is>
      </c>
      <c r="E15" s="10" t="inlineStr">
        <is>
          <t>Signature Policy &gt; Signing Certificate</t>
        </is>
      </c>
      <c r="F15" s="10" t="inlineStr">
        <is>
          <t>PingFederate signing key (new)</t>
        </is>
      </c>
      <c r="G15" s="9" t="inlineStr">
        <is>
          <t>SP_UPDATE</t>
        </is>
      </c>
      <c r="H15" s="10" t="inlineStr">
        <is>
          <t>Okta does not export private keys - SP must trust the new certificate</t>
        </is>
      </c>
    </row>
    <row r="16">
      <c r="A16" s="9" t="inlineStr">
        <is>
          <t>Engineering Wiki (Confluence DC)</t>
        </is>
      </c>
      <c r="B16" s="9" t="inlineStr">
        <is>
          <t>Assertion</t>
        </is>
      </c>
      <c r="C16" s="9" t="inlineStr">
        <is>
          <t>NameID format</t>
        </is>
      </c>
      <c r="D16" s="10" t="inlineStr">
        <is>
          <t>urn:oasis:names:tc:SAML:1.1:nameid-format:unspecified</t>
        </is>
      </c>
      <c r="E16" s="10" t="inlineStr">
        <is>
          <t>Attribute Contract &gt; SAML_SUBJECT format</t>
        </is>
      </c>
      <c r="F16" s="10" t="inlineStr">
        <is>
          <t>urn:oasis:names:tc:SAML:1.1:nameid-format:unspecified</t>
        </is>
      </c>
      <c r="G16" s="9" t="inlineStr">
        <is>
          <t>SAME</t>
        </is>
      </c>
      <c r="H16" s="10" t="inlineStr">
        <is>
          <t>'</t>
        </is>
      </c>
    </row>
    <row r="17">
      <c r="A17" s="9" t="inlineStr">
        <is>
          <t>Engineering Wiki (Confluence DC)</t>
        </is>
      </c>
      <c r="B17" s="9" t="inlineStr">
        <is>
          <t>Assertion</t>
        </is>
      </c>
      <c r="C17" s="9" t="inlineStr">
        <is>
          <t>NameID value</t>
        </is>
      </c>
      <c r="D17" s="10" t="inlineStr">
        <is>
          <t>${user.login}</t>
        </is>
      </c>
      <c r="E17" s="10" t="inlineStr">
        <is>
          <t>Contract Fulfillment &gt; SAML_SUBJECT</t>
        </is>
      </c>
      <c r="F17" s="10" t="inlineStr">
        <is>
          <t>LDAP: userPrincipalName</t>
        </is>
      </c>
      <c r="G17" s="9" t="inlineStr">
        <is>
          <t>SAME</t>
        </is>
      </c>
      <c r="H17" s="10" t="inlineStr">
        <is>
          <t>'</t>
        </is>
      </c>
    </row>
    <row r="18">
      <c r="A18" s="9" t="inlineStr">
        <is>
          <t>Engineering Wiki (Confluence DC)</t>
        </is>
      </c>
      <c r="B18" s="9" t="inlineStr">
        <is>
          <t>Assertion</t>
        </is>
      </c>
      <c r="C18" s="9" t="inlineStr">
        <is>
          <t>Signing</t>
        </is>
      </c>
      <c r="D18" s="10" t="inlineStr">
        <is>
          <t>response + assertion</t>
        </is>
      </c>
      <c r="E18" s="10" t="inlineStr">
        <is>
          <t>Signature Policy</t>
        </is>
      </c>
      <c r="F18" s="10" t="inlineStr">
        <is>
          <t>Sign response + 'Always sign the SAML assertion'</t>
        </is>
      </c>
      <c r="G18" s="9" t="inlineStr">
        <is>
          <t>CONFIGURE</t>
        </is>
      </c>
      <c r="H18" s="10" t="inlineStr">
        <is>
          <t>'</t>
        </is>
      </c>
    </row>
    <row r="19">
      <c r="A19" s="9" t="inlineStr">
        <is>
          <t>Engineering Wiki (Confluence DC)</t>
        </is>
      </c>
      <c r="B19" s="9" t="inlineStr">
        <is>
          <t>Assertion</t>
        </is>
      </c>
      <c r="C19" s="9" t="inlineStr">
        <is>
          <t>Signature algorithm</t>
        </is>
      </c>
      <c r="D19" s="10" t="inlineStr">
        <is>
          <t>RSA_SHA256</t>
        </is>
      </c>
      <c r="E19" s="10" t="inlineStr">
        <is>
          <t>Signature Policy &gt; Signing Algorithm</t>
        </is>
      </c>
      <c r="F19" s="10" t="inlineStr">
        <is>
          <t>RSA SHA256</t>
        </is>
      </c>
      <c r="G19" s="9" t="inlineStr">
        <is>
          <t>SAME</t>
        </is>
      </c>
      <c r="H19" s="10" t="inlineStr">
        <is>
          <t>'</t>
        </is>
      </c>
    </row>
    <row r="20">
      <c r="A20" s="9" t="inlineStr">
        <is>
          <t>Engineering Wiki (Confluence DC)</t>
        </is>
      </c>
      <c r="B20" s="9" t="inlineStr">
        <is>
          <t>Assertion</t>
        </is>
      </c>
      <c r="C20" s="9" t="inlineStr">
        <is>
          <t>AuthnContextClassRef</t>
        </is>
      </c>
      <c r="D20" s="10" t="inlineStr">
        <is>
          <t>urn:oasis:names:tc:SAML:2.0:ac:classes:PasswordProtectedTransport</t>
        </is>
      </c>
      <c r="E20" s="10" t="inlineStr">
        <is>
          <t>Authentication policy / adapter mapping</t>
        </is>
      </c>
      <c r="F20" s="10" t="inlineStr">
        <is>
          <t>urn:oasis:names:tc:SAML:2.0:ac:classes:PasswordProtectedTransport</t>
        </is>
      </c>
      <c r="G20" s="9" t="inlineStr">
        <is>
          <t>SAME</t>
        </is>
      </c>
      <c r="H20" s="10" t="inlineStr">
        <is>
          <t>'</t>
        </is>
      </c>
    </row>
    <row r="21">
      <c r="A21" s="9" t="inlineStr">
        <is>
          <t>Engineering Wiki (Confluence DC)</t>
        </is>
      </c>
      <c r="B21" s="9" t="inlineStr">
        <is>
          <t>Assertion</t>
        </is>
      </c>
      <c r="C21" s="9" t="inlineStr">
        <is>
          <t>Assertion lifetime</t>
        </is>
      </c>
      <c r="D21" s="10" t="inlineStr">
        <is>
          <t>300 s</t>
        </is>
      </c>
      <c r="E21" s="10" t="inlineStr">
        <is>
          <t>Protocol Settings &gt; Assertion Lifetime (minutes before / after)</t>
        </is>
      </c>
      <c r="F21" s="10" t="inlineStr">
        <is>
          <t>5 / 5</t>
        </is>
      </c>
      <c r="G21" s="9" t="inlineStr">
        <is>
          <t>SAME</t>
        </is>
      </c>
      <c r="H21" s="10" t="inlineStr">
        <is>
          <t>'</t>
        </is>
      </c>
    </row>
    <row r="22">
      <c r="A22" s="9" t="inlineStr">
        <is>
          <t>Engineering Wiki (Confluence DC)</t>
        </is>
      </c>
      <c r="B22" s="9" t="inlineStr">
        <is>
          <t>Assertion</t>
        </is>
      </c>
      <c r="C22" s="9" t="inlineStr">
        <is>
          <t>App username</t>
        </is>
      </c>
      <c r="D22" s="10" t="inlineStr">
        <is>
          <t>${source.login}</t>
        </is>
      </c>
      <c r="E22" s="10" t="inlineStr">
        <is>
          <t>Used via SAML_SUBJECT / attributes</t>
        </is>
      </c>
      <c r="F22" s="10" t="inlineStr">
        <is>
          <t>Directory attribute</t>
        </is>
      </c>
      <c r="G22" s="9" t="inlineStr">
        <is>
          <t>SAME</t>
        </is>
      </c>
      <c r="H22" s="10" t="inlineStr">
        <is>
          <t>'</t>
        </is>
      </c>
    </row>
    <row r="23">
      <c r="A23" s="9" t="inlineStr">
        <is>
          <t>Engineering Wiki (Confluence DC)</t>
        </is>
      </c>
      <c r="B23" s="9" t="inlineStr">
        <is>
          <t>Attributes</t>
        </is>
      </c>
      <c r="C23" s="9" t="inlineStr">
        <is>
          <t>email</t>
        </is>
      </c>
      <c r="D23" s="10" t="inlineStr">
        <is>
          <t>user.email</t>
        </is>
      </c>
      <c r="E23" s="10" t="inlineStr">
        <is>
          <t>Attribute Contract 'email' &lt;- DATA_STORE</t>
        </is>
      </c>
      <c r="F23" s="10" t="inlineStr">
        <is>
          <t>LDAP: mail</t>
        </is>
      </c>
      <c r="G23" s="9" t="inlineStr">
        <is>
          <t>SAME</t>
        </is>
      </c>
      <c r="H23" s="10" t="inlineStr">
        <is>
          <t>'</t>
        </is>
      </c>
    </row>
    <row r="24">
      <c r="A24" s="9" t="inlineStr">
        <is>
          <t>Engineering Wiki (Confluence DC)</t>
        </is>
      </c>
      <c r="B24" s="9" t="inlineStr">
        <is>
          <t>Attributes</t>
        </is>
      </c>
      <c r="C24" s="9" t="inlineStr">
        <is>
          <t>fullName</t>
        </is>
      </c>
      <c r="D24" s="10" t="inlineStr">
        <is>
          <t>user.firstName + " " + user.lastName</t>
        </is>
      </c>
      <c r="E24" s="10" t="inlineStr">
        <is>
          <t>Attribute Contract 'fullName' &lt;- OGNL</t>
        </is>
      </c>
      <c r="F24" s="10" t="inlineStr">
        <is>
          <t>OGNL needed (&lt;concatenation&gt;); LDAP inputs: givenName, sn</t>
        </is>
      </c>
      <c r="G24" s="9" t="inlineStr">
        <is>
          <t>ACTION</t>
        </is>
      </c>
      <c r="H24" s="10" t="inlineStr">
        <is>
          <t>'</t>
        </is>
      </c>
    </row>
    <row r="25">
      <c r="A25" s="9" t="inlineStr">
        <is>
          <t>Engineering Wiki (Confluence DC)</t>
        </is>
      </c>
      <c r="B25" s="9" t="inlineStr">
        <is>
          <t>Attributes</t>
        </is>
      </c>
      <c r="C25" s="9" t="inlineStr">
        <is>
          <t>wikiRole</t>
        </is>
      </c>
      <c r="D25" s="10" t="inlineStr">
        <is>
          <t>user.department == "Engineering" ? "wiki-admin" : "wiki-user"</t>
        </is>
      </c>
      <c r="E25" s="10" t="inlineStr">
        <is>
          <t>Attribute Contract 'wikiRole' &lt;- OGNL</t>
        </is>
      </c>
      <c r="F25" s="10" t="inlineStr">
        <is>
          <t>OGNL needed (&lt;conditional&gt;); LDAP inputs: department</t>
        </is>
      </c>
      <c r="G25" s="9" t="inlineStr">
        <is>
          <t>ACTION</t>
        </is>
      </c>
      <c r="H25" s="10" t="inlineStr">
        <is>
          <t>'</t>
        </is>
      </c>
    </row>
    <row r="26">
      <c r="A26" s="9" t="inlineStr">
        <is>
          <t>Engineering Wiki (Confluence DC)</t>
        </is>
      </c>
      <c r="B26" s="9" t="inlineStr">
        <is>
          <t>Attributes</t>
        </is>
      </c>
      <c r="C26" s="9" t="inlineStr">
        <is>
          <t>groups</t>
        </is>
      </c>
      <c r="D26" s="10" t="inlineStr">
        <is>
          <t>REGEX ENG-.*</t>
        </is>
      </c>
      <c r="E26" s="10" t="inlineStr">
        <is>
          <t>Attribute Contract 'groups' &lt;- GROUP_LDAP_SEARCH</t>
        </is>
      </c>
      <c r="F26" s="10" t="inlineStr">
        <is>
          <t>Chained LDAP attribute source returning cn, e.g. (&amp;(objectClass=group)(member=&lt;user DN&gt;)(cn=ENG-*))</t>
        </is>
      </c>
      <c r="G26" s="9" t="inlineStr">
        <is>
          <t>ACTION</t>
        </is>
      </c>
      <c r="H26" s="10" t="inlineStr">
        <is>
          <t>Okta-only groups: ENG-Contractors</t>
        </is>
      </c>
    </row>
    <row r="27">
      <c r="A27" s="9" t="inlineStr">
        <is>
          <t>Engineering Wiki (Confluence DC)</t>
        </is>
      </c>
      <c r="B27" s="9" t="inlineStr">
        <is>
          <t>Access control</t>
        </is>
      </c>
      <c r="C27" s="9" t="inlineStr">
        <is>
          <t>Assigned groups</t>
        </is>
      </c>
      <c r="D27" s="10" t="inlineStr">
        <is>
          <t>ENG-Platform, ENG-Data, ENG-Mobile</t>
        </is>
      </c>
      <c r="E27" s="10" t="inlineStr">
        <is>
          <t>Issuance Criteria (memberOf)</t>
        </is>
      </c>
      <c r="F27" s="10" t="inlineStr">
        <is>
          <t>memberOf includes one of: ENG-Platform, ENG-Data, ENG-Mobile</t>
        </is>
      </c>
      <c r="G27" s="9" t="inlineStr">
        <is>
          <t>ACTION</t>
        </is>
      </c>
      <c r="H27" s="10" t="inlineStr">
        <is>
          <t>Without this, any authenticated user gets an assertion</t>
        </is>
      </c>
    </row>
    <row r="28">
      <c r="A28" s="9" t="inlineStr">
        <is>
          <t>Engineering Wiki (Confluence DC)</t>
        </is>
      </c>
      <c r="B28" s="9" t="inlineStr">
        <is>
          <t>Access control</t>
        </is>
      </c>
      <c r="C28" s="9" t="inlineStr">
        <is>
          <t>Assignment attributes</t>
        </is>
      </c>
      <c r="D28" s="10" t="inlineStr">
        <is>
          <t>wikiSpace</t>
        </is>
      </c>
      <c r="E28" s="10" t="inlineStr">
        <is>
          <t>Directory attribute or group-derived value</t>
        </is>
      </c>
      <c r="F28" s="10" t="inlineStr">
        <is>
          <t>Store in the directory</t>
        </is>
      </c>
      <c r="G28" s="9" t="inlineStr">
        <is>
          <t>ACTION</t>
        </is>
      </c>
      <c r="H28" s="10" t="inlineStr">
        <is>
          <t>'</t>
        </is>
      </c>
    </row>
    <row r="29">
      <c r="A29" s="9" t="inlineStr">
        <is>
          <t>Expense Portal</t>
        </is>
      </c>
      <c r="B29" s="9" t="inlineStr">
        <is>
          <t>SP connection</t>
        </is>
      </c>
      <c r="C29" s="9" t="inlineStr">
        <is>
          <t>Connection name</t>
        </is>
      </c>
      <c r="D29" s="10" t="inlineStr">
        <is>
          <t>Expense Portal</t>
        </is>
      </c>
      <c r="E29" s="10" t="inlineStr">
        <is>
          <t>SP Connection &gt; General Info &gt; Connection Name</t>
        </is>
      </c>
      <c r="F29" s="10" t="inlineStr">
        <is>
          <t>Expense Portal</t>
        </is>
      </c>
      <c r="G29" s="9" t="inlineStr">
        <is>
          <t>CONFIGURE</t>
        </is>
      </c>
      <c r="H29" s="10" t="inlineStr">
        <is>
          <t>'</t>
        </is>
      </c>
    </row>
    <row r="30">
      <c r="A30" s="9" t="inlineStr">
        <is>
          <t>Expense Portal</t>
        </is>
      </c>
      <c r="B30" s="9" t="inlineStr">
        <is>
          <t>SP connection</t>
        </is>
      </c>
      <c r="C30" s="9" t="inlineStr">
        <is>
          <t>SP entity ID</t>
        </is>
      </c>
      <c r="D30" s="10" t="inlineStr">
        <is>
          <t>https://expenses.northwind.example</t>
        </is>
      </c>
      <c r="E30" s="10" t="inlineStr">
        <is>
          <t>Partner's Entity ID (Connection ID)</t>
        </is>
      </c>
      <c r="F30" s="10" t="inlineStr">
        <is>
          <t>https://expenses.northwind.example</t>
        </is>
      </c>
      <c r="G30" s="9" t="inlineStr">
        <is>
          <t>ACTION</t>
        </is>
      </c>
      <c r="H30" s="10" t="inlineStr">
        <is>
          <t>Shared with another Okta app - must be unique in PingFederate</t>
        </is>
      </c>
    </row>
    <row r="31">
      <c r="A31" s="9" t="inlineStr">
        <is>
          <t>Expense Portal</t>
        </is>
      </c>
      <c r="B31" s="9" t="inlineStr">
        <is>
          <t>SP connection</t>
        </is>
      </c>
      <c r="C31" s="9" t="inlineStr">
        <is>
          <t>Okta app status</t>
        </is>
      </c>
      <c r="D31" s="10" t="inlineStr">
        <is>
          <t>ACTIVE</t>
        </is>
      </c>
      <c r="E31" s="10" t="inlineStr">
        <is>
          <t>Connection status</t>
        </is>
      </c>
      <c r="F31" s="10" t="inlineStr">
        <is>
          <t>Active</t>
        </is>
      </c>
      <c r="G31" s="9" t="inlineStr">
        <is>
          <t>SAME</t>
        </is>
      </c>
      <c r="H31" s="10" t="inlineStr">
        <is>
          <t>'</t>
        </is>
      </c>
    </row>
    <row r="32">
      <c r="A32" s="9" t="inlineStr">
        <is>
          <t>Expense Portal</t>
        </is>
      </c>
      <c r="B32" s="9" t="inlineStr">
        <is>
          <t>SP connection</t>
        </is>
      </c>
      <c r="C32" s="9" t="inlineStr">
        <is>
          <t>ACS URL (index 0)</t>
        </is>
      </c>
      <c r="D32" s="10" t="inlineStr">
        <is>
          <t>https://expenses.northwind.example/saml/acs</t>
        </is>
      </c>
      <c r="E32" s="10" t="inlineStr">
        <is>
          <t>Protocol Settings &gt; Assertion Consumer Service URL (HTTP-POST)</t>
        </is>
      </c>
      <c r="F32" s="10" t="inlineStr">
        <is>
          <t>https://expenses.northwind.example/saml/acs</t>
        </is>
      </c>
      <c r="G32" s="9" t="inlineStr">
        <is>
          <t>SAME</t>
        </is>
      </c>
      <c r="H32" s="10" t="inlineStr">
        <is>
          <t>'</t>
        </is>
      </c>
    </row>
    <row r="33">
      <c r="A33" s="9" t="inlineStr">
        <is>
          <t>Expense Portal</t>
        </is>
      </c>
      <c r="B33" s="9" t="inlineStr">
        <is>
          <t>SP connection</t>
        </is>
      </c>
      <c r="C33" s="9" t="inlineStr">
        <is>
          <t>Default RelayState</t>
        </is>
      </c>
      <c r="D33" s="10" t="inlineStr">
        <is>
          <t>—</t>
        </is>
      </c>
      <c r="E33" s="10" t="inlineStr">
        <is>
          <t>IdP-initiated SSO TargetResource</t>
        </is>
      </c>
      <c r="F33" s="10" t="inlineStr">
        <is>
          <t>—</t>
        </is>
      </c>
      <c r="G33" s="9" t="inlineStr">
        <is>
          <t>N/A</t>
        </is>
      </c>
      <c r="H33" s="10" t="inlineStr">
        <is>
          <t>'</t>
        </is>
      </c>
    </row>
    <row r="34">
      <c r="A34" s="9" t="inlineStr">
        <is>
          <t>Expense Portal</t>
        </is>
      </c>
      <c r="B34" s="9" t="inlineStr">
        <is>
          <t>SP connection</t>
        </is>
      </c>
      <c r="C34" s="9" t="inlineStr">
        <is>
          <t>Single logout</t>
        </is>
      </c>
      <c r="D34" s="10" t="inlineStr">
        <is>
          <t>No</t>
        </is>
      </c>
      <c r="E34" s="10" t="inlineStr">
        <is>
          <t>Protocol Settings &gt; SLO Service URL</t>
        </is>
      </c>
      <c r="F34" s="10" t="inlineStr">
        <is>
          <t>—</t>
        </is>
      </c>
      <c r="G34" s="9" t="inlineStr">
        <is>
          <t>N/A</t>
        </is>
      </c>
      <c r="H34" s="10" t="inlineStr">
        <is>
          <t>'</t>
        </is>
      </c>
    </row>
    <row r="35">
      <c r="A35" s="9" t="inlineStr">
        <is>
          <t>Expense Portal</t>
        </is>
      </c>
      <c r="B35" s="9" t="inlineStr">
        <is>
          <t>SP connection</t>
        </is>
      </c>
      <c r="C35" s="9" t="inlineStr">
        <is>
          <t>Signed AuthnRequests</t>
        </is>
      </c>
      <c r="D35" s="10" t="inlineStr">
        <is>
          <t>No</t>
        </is>
      </c>
      <c r="E35" s="10" t="inlineStr">
        <is>
          <t>Signature Verification &gt; require signed AuthnRequests + SP certificate</t>
        </is>
      </c>
      <c r="F35" s="10" t="inlineStr">
        <is>
          <t>Not required</t>
        </is>
      </c>
      <c r="G35" s="9" t="inlineStr">
        <is>
          <t>N/A</t>
        </is>
      </c>
      <c r="H35" s="10" t="inlineStr">
        <is>
          <t>'</t>
        </is>
      </c>
    </row>
    <row r="36">
      <c r="A36" s="9" t="inlineStr">
        <is>
          <t>Expense Portal</t>
        </is>
      </c>
      <c r="B36" s="9" t="inlineStr">
        <is>
          <t>IdP identity</t>
        </is>
      </c>
      <c r="C36" s="9" t="inlineStr">
        <is>
          <t>IdP entity ID (Issuer)</t>
        </is>
      </c>
      <c r="D36" s="10" t="inlineStr">
        <is>
          <t>http://www.okta.com/exk1expenseportal01</t>
        </is>
      </c>
      <c r="E36" s="10" t="inlineStr">
        <is>
          <t>Server Settings &gt; SAML 2.0 Entity ID</t>
        </is>
      </c>
      <c r="F36" s="10" t="inlineStr">
        <is>
          <t>https://sso.example.com</t>
        </is>
      </c>
      <c r="G36" s="9" t="inlineStr">
        <is>
          <t>SP_UPDATE</t>
        </is>
      </c>
      <c r="H36" s="10" t="inlineStr">
        <is>
          <t>SP must trust the new issuer</t>
        </is>
      </c>
    </row>
    <row r="37">
      <c r="A37" s="9" t="inlineStr">
        <is>
          <t>Expense Portal</t>
        </is>
      </c>
      <c r="B37" s="9" t="inlineStr">
        <is>
          <t>IdP identity</t>
        </is>
      </c>
      <c r="C37" s="9" t="inlineStr">
        <is>
          <t>SSO URL</t>
        </is>
      </c>
      <c r="D37" s="10" t="inlineStr">
        <is>
          <t>https://northwind.okta.com/app/northwind_expenseportal_1/exk1expenseportal01/sso/saml</t>
        </is>
      </c>
      <c r="E37" s="10" t="inlineStr">
        <is>
          <t>Runtime SSO endpoint</t>
        </is>
      </c>
      <c r="F37" s="10" t="inlineStr">
        <is>
          <t>https://sso.example.com/idp/SSO.saml2</t>
        </is>
      </c>
      <c r="G37" s="9" t="inlineStr">
        <is>
          <t>SP_UPDATE</t>
        </is>
      </c>
      <c r="H37" s="10" t="inlineStr">
        <is>
          <t>'</t>
        </is>
      </c>
    </row>
    <row r="38">
      <c r="A38" s="9" t="inlineStr">
        <is>
          <t>Expense Portal</t>
        </is>
      </c>
      <c r="B38" s="9" t="inlineStr">
        <is>
          <t>IdP identity</t>
        </is>
      </c>
      <c r="C38" s="9" t="inlineStr">
        <is>
          <t>IdP-initiated SSO link</t>
        </is>
      </c>
      <c r="D38" s="10" t="inlineStr">
        <is>
          <t>Okta app embed link</t>
        </is>
      </c>
      <c r="E38" s="10" t="inlineStr">
        <is>
          <t>IdP-initiated SSO URL</t>
        </is>
      </c>
      <c r="F38" s="10" t="inlineStr">
        <is>
          <t>https://sso.example.com/idp/startSSO.ping?PartnerSpId=https%3A%2F%2Fexpenses.northwind.example</t>
        </is>
      </c>
      <c r="G38" s="9" t="inlineStr">
        <is>
          <t>SP_UPDATE</t>
        </is>
      </c>
      <c r="H38" s="10" t="inlineStr">
        <is>
          <t>Update portal bookmarks and links</t>
        </is>
      </c>
    </row>
    <row r="39">
      <c r="A39" s="9" t="inlineStr">
        <is>
          <t>Expense Portal</t>
        </is>
      </c>
      <c r="B39" s="9" t="inlineStr">
        <is>
          <t>IdP identity</t>
        </is>
      </c>
      <c r="C39" s="9" t="inlineStr">
        <is>
          <t>IdP metadata</t>
        </is>
      </c>
      <c r="D39" s="10" t="inlineStr">
        <is>
          <t>Okta app metadata URL</t>
        </is>
      </c>
      <c r="E39" s="10" t="inlineStr">
        <is>
          <t>Metadata export URL</t>
        </is>
      </c>
      <c r="F39" s="10" t="inlineStr">
        <is>
          <t>https://sso.example.com/pf/federation_metadata.ping?PartnerSpId=https%3A%2F%2Fexpenses.northwind.example</t>
        </is>
      </c>
      <c r="G39" s="9" t="inlineStr">
        <is>
          <t>SP_UPDATE</t>
        </is>
      </c>
      <c r="H39" s="10" t="inlineStr">
        <is>
          <t>'</t>
        </is>
      </c>
    </row>
    <row r="40">
      <c r="A40" s="9" t="inlineStr">
        <is>
          <t>Expense Portal</t>
        </is>
      </c>
      <c r="B40" s="9" t="inlineStr">
        <is>
          <t>IdP identity</t>
        </is>
      </c>
      <c r="C40" s="9" t="inlineStr">
        <is>
          <t>Signing certificate</t>
        </is>
      </c>
      <c r="D40" s="10" t="inlineStr">
        <is>
          <t>2AD29F582E4B19B50A193B33BDDCE3E5C9C420EF (expires 2029-06-01)</t>
        </is>
      </c>
      <c r="E40" s="10" t="inlineStr">
        <is>
          <t>Signature Policy &gt; Signing Certificate</t>
        </is>
      </c>
      <c r="F40" s="10" t="inlineStr">
        <is>
          <t>PingFederate signing key (new)</t>
        </is>
      </c>
      <c r="G40" s="9" t="inlineStr">
        <is>
          <t>SP_UPDATE</t>
        </is>
      </c>
      <c r="H40" s="10" t="inlineStr">
        <is>
          <t>Okta does not export private keys - SP must trust the new certificate</t>
        </is>
      </c>
    </row>
    <row r="41">
      <c r="A41" s="9" t="inlineStr">
        <is>
          <t>Expense Portal</t>
        </is>
      </c>
      <c r="B41" s="9" t="inlineStr">
        <is>
          <t>Assertion</t>
        </is>
      </c>
      <c r="C41" s="9" t="inlineStr">
        <is>
          <t>NameID format</t>
        </is>
      </c>
      <c r="D41" s="10" t="inlineStr">
        <is>
          <t>urn:oasis:names:tc:SAML:1.1:nameid-format:emailAddress</t>
        </is>
      </c>
      <c r="E41" s="10" t="inlineStr">
        <is>
          <t>Attribute Contract &gt; SAML_SUBJECT format</t>
        </is>
      </c>
      <c r="F41" s="10" t="inlineStr">
        <is>
          <t>urn:oasis:names:tc:SAML:1.1:nameid-format:emailAddress</t>
        </is>
      </c>
      <c r="G41" s="9" t="inlineStr">
        <is>
          <t>SAME</t>
        </is>
      </c>
      <c r="H41" s="10" t="inlineStr">
        <is>
          <t>'</t>
        </is>
      </c>
    </row>
    <row r="42">
      <c r="A42" s="9" t="inlineStr">
        <is>
          <t>Expense Portal</t>
        </is>
      </c>
      <c r="B42" s="9" t="inlineStr">
        <is>
          <t>Assertion</t>
        </is>
      </c>
      <c r="C42" s="9" t="inlineStr">
        <is>
          <t>NameID value</t>
        </is>
      </c>
      <c r="D42" s="10" t="inlineStr">
        <is>
          <t>${user.email}</t>
        </is>
      </c>
      <c r="E42" s="10" t="inlineStr">
        <is>
          <t>Contract Fulfillment &gt; SAML_SUBJECT</t>
        </is>
      </c>
      <c r="F42" s="10" t="inlineStr">
        <is>
          <t>LDAP: mail</t>
        </is>
      </c>
      <c r="G42" s="9" t="inlineStr">
        <is>
          <t>SAME</t>
        </is>
      </c>
      <c r="H42" s="10" t="inlineStr">
        <is>
          <t>'</t>
        </is>
      </c>
    </row>
    <row r="43">
      <c r="A43" s="9" t="inlineStr">
        <is>
          <t>Expense Portal</t>
        </is>
      </c>
      <c r="B43" s="9" t="inlineStr">
        <is>
          <t>Assertion</t>
        </is>
      </c>
      <c r="C43" s="9" t="inlineStr">
        <is>
          <t>Signing</t>
        </is>
      </c>
      <c r="D43" s="10" t="inlineStr">
        <is>
          <t>response + assertion</t>
        </is>
      </c>
      <c r="E43" s="10" t="inlineStr">
        <is>
          <t>Signature Policy</t>
        </is>
      </c>
      <c r="F43" s="10" t="inlineStr">
        <is>
          <t>Sign response + 'Always sign the SAML assertion'</t>
        </is>
      </c>
      <c r="G43" s="9" t="inlineStr">
        <is>
          <t>CONFIGURE</t>
        </is>
      </c>
      <c r="H43" s="10" t="inlineStr">
        <is>
          <t>'</t>
        </is>
      </c>
    </row>
    <row r="44">
      <c r="A44" s="9" t="inlineStr">
        <is>
          <t>Expense Portal</t>
        </is>
      </c>
      <c r="B44" s="9" t="inlineStr">
        <is>
          <t>Assertion</t>
        </is>
      </c>
      <c r="C44" s="9" t="inlineStr">
        <is>
          <t>Signature algorithm</t>
        </is>
      </c>
      <c r="D44" s="10" t="inlineStr">
        <is>
          <t>RSA_SHA256</t>
        </is>
      </c>
      <c r="E44" s="10" t="inlineStr">
        <is>
          <t>Signature Policy &gt; Signing Algorithm</t>
        </is>
      </c>
      <c r="F44" s="10" t="inlineStr">
        <is>
          <t>RSA SHA256</t>
        </is>
      </c>
      <c r="G44" s="9" t="inlineStr">
        <is>
          <t>SAME</t>
        </is>
      </c>
      <c r="H44" s="10" t="inlineStr">
        <is>
          <t>'</t>
        </is>
      </c>
    </row>
    <row r="45">
      <c r="A45" s="9" t="inlineStr">
        <is>
          <t>Expense Portal</t>
        </is>
      </c>
      <c r="B45" s="9" t="inlineStr">
        <is>
          <t>Assertion</t>
        </is>
      </c>
      <c r="C45" s="9" t="inlineStr">
        <is>
          <t>AuthnContextClassRef</t>
        </is>
      </c>
      <c r="D45" s="10" t="inlineStr">
        <is>
          <t>urn:oasis:names:tc:SAML:2.0:ac:classes:PasswordProtectedTransport</t>
        </is>
      </c>
      <c r="E45" s="10" t="inlineStr">
        <is>
          <t>Authentication policy / adapter mapping</t>
        </is>
      </c>
      <c r="F45" s="10" t="inlineStr">
        <is>
          <t>urn:oasis:names:tc:SAML:2.0:ac:classes:PasswordProtectedTransport</t>
        </is>
      </c>
      <c r="G45" s="9" t="inlineStr">
        <is>
          <t>SAME</t>
        </is>
      </c>
      <c r="H45" s="10" t="inlineStr">
        <is>
          <t>'</t>
        </is>
      </c>
    </row>
    <row r="46">
      <c r="A46" s="9" t="inlineStr">
        <is>
          <t>Expense Portal</t>
        </is>
      </c>
      <c r="B46" s="9" t="inlineStr">
        <is>
          <t>Assertion</t>
        </is>
      </c>
      <c r="C46" s="9" t="inlineStr">
        <is>
          <t>Assertion lifetime</t>
        </is>
      </c>
      <c r="D46" s="10" t="inlineStr">
        <is>
          <t>300 s</t>
        </is>
      </c>
      <c r="E46" s="10" t="inlineStr">
        <is>
          <t>Protocol Settings &gt; Assertion Lifetime (minutes before / after)</t>
        </is>
      </c>
      <c r="F46" s="10" t="inlineStr">
        <is>
          <t>5 / 5</t>
        </is>
      </c>
      <c r="G46" s="9" t="inlineStr">
        <is>
          <t>SAME</t>
        </is>
      </c>
      <c r="H46" s="10" t="inlineStr">
        <is>
          <t>'</t>
        </is>
      </c>
    </row>
    <row r="47">
      <c r="A47" s="9" t="inlineStr">
        <is>
          <t>Expense Portal</t>
        </is>
      </c>
      <c r="B47" s="9" t="inlineStr">
        <is>
          <t>Assertion</t>
        </is>
      </c>
      <c r="C47" s="9" t="inlineStr">
        <is>
          <t>App username</t>
        </is>
      </c>
      <c r="D47" s="10" t="inlineStr">
        <is>
          <t>${source.email}</t>
        </is>
      </c>
      <c r="E47" s="10" t="inlineStr">
        <is>
          <t>Used via SAML_SUBJECT / attributes</t>
        </is>
      </c>
      <c r="F47" s="10" t="inlineStr">
        <is>
          <t>Directory attribute</t>
        </is>
      </c>
      <c r="G47" s="9" t="inlineStr">
        <is>
          <t>SAME</t>
        </is>
      </c>
      <c r="H47" s="10" t="inlineStr">
        <is>
          <t>'</t>
        </is>
      </c>
    </row>
    <row r="48">
      <c r="A48" s="9" t="inlineStr">
        <is>
          <t>Expense Portal</t>
        </is>
      </c>
      <c r="B48" s="9" t="inlineStr">
        <is>
          <t>Attributes</t>
        </is>
      </c>
      <c r="C48" s="9" t="inlineStr">
        <is>
          <t>email</t>
        </is>
      </c>
      <c r="D48" s="10" t="inlineStr">
        <is>
          <t>user.email</t>
        </is>
      </c>
      <c r="E48" s="10" t="inlineStr">
        <is>
          <t>Attribute Contract 'email' &lt;- DATA_STORE</t>
        </is>
      </c>
      <c r="F48" s="10" t="inlineStr">
        <is>
          <t>LDAP: mail</t>
        </is>
      </c>
      <c r="G48" s="9" t="inlineStr">
        <is>
          <t>SAME</t>
        </is>
      </c>
      <c r="H48" s="10" t="inlineStr">
        <is>
          <t>'</t>
        </is>
      </c>
    </row>
    <row r="49">
      <c r="A49" s="9" t="inlineStr">
        <is>
          <t>Expense Portal</t>
        </is>
      </c>
      <c r="B49" s="9" t="inlineStr">
        <is>
          <t>Access control</t>
        </is>
      </c>
      <c r="C49" s="9" t="inlineStr">
        <is>
          <t>Assigned groups</t>
        </is>
      </c>
      <c r="D49" s="10" t="inlineStr">
        <is>
          <t>All Employees</t>
        </is>
      </c>
      <c r="E49" s="10" t="inlineStr">
        <is>
          <t>Issuance Criteria (memberOf)</t>
        </is>
      </c>
      <c r="F49" s="10" t="inlineStr">
        <is>
          <t>memberOf includes one of: All Employees</t>
        </is>
      </c>
      <c r="G49" s="9" t="inlineStr">
        <is>
          <t>ACTION</t>
        </is>
      </c>
      <c r="H49" s="10" t="inlineStr">
        <is>
          <t>Without this, any authenticated user gets an assertion</t>
        </is>
      </c>
    </row>
    <row r="50">
      <c r="A50" s="9" t="inlineStr">
        <is>
          <t>Expense Portal (UAT)</t>
        </is>
      </c>
      <c r="B50" s="9" t="inlineStr">
        <is>
          <t>SP connection</t>
        </is>
      </c>
      <c r="C50" s="9" t="inlineStr">
        <is>
          <t>Connection name</t>
        </is>
      </c>
      <c r="D50" s="10" t="inlineStr">
        <is>
          <t>Expense Portal (UAT)</t>
        </is>
      </c>
      <c r="E50" s="10" t="inlineStr">
        <is>
          <t>SP Connection &gt; General Info &gt; Connection Name</t>
        </is>
      </c>
      <c r="F50" s="10" t="inlineStr">
        <is>
          <t>Expense Portal (UAT)</t>
        </is>
      </c>
      <c r="G50" s="9" t="inlineStr">
        <is>
          <t>CONFIGURE</t>
        </is>
      </c>
      <c r="H50" s="10" t="inlineStr">
        <is>
          <t>'</t>
        </is>
      </c>
    </row>
    <row r="51">
      <c r="A51" s="9" t="inlineStr">
        <is>
          <t>Expense Portal (UAT)</t>
        </is>
      </c>
      <c r="B51" s="9" t="inlineStr">
        <is>
          <t>SP connection</t>
        </is>
      </c>
      <c r="C51" s="9" t="inlineStr">
        <is>
          <t>SP entity ID</t>
        </is>
      </c>
      <c r="D51" s="10" t="inlineStr">
        <is>
          <t>https://expenses.northwind.example</t>
        </is>
      </c>
      <c r="E51" s="10" t="inlineStr">
        <is>
          <t>Partner's Entity ID (Connection ID)</t>
        </is>
      </c>
      <c r="F51" s="10" t="inlineStr">
        <is>
          <t>https://expenses.northwind.example</t>
        </is>
      </c>
      <c r="G51" s="9" t="inlineStr">
        <is>
          <t>ACTION</t>
        </is>
      </c>
      <c r="H51" s="10" t="inlineStr">
        <is>
          <t>Shared with another Okta app - must be unique in PingFederate</t>
        </is>
      </c>
    </row>
    <row r="52">
      <c r="A52" s="9" t="inlineStr">
        <is>
          <t>Expense Portal (UAT)</t>
        </is>
      </c>
      <c r="B52" s="9" t="inlineStr">
        <is>
          <t>SP connection</t>
        </is>
      </c>
      <c r="C52" s="9" t="inlineStr">
        <is>
          <t>Okta app status</t>
        </is>
      </c>
      <c r="D52" s="10" t="inlineStr">
        <is>
          <t>ACTIVE</t>
        </is>
      </c>
      <c r="E52" s="10" t="inlineStr">
        <is>
          <t>Connection status</t>
        </is>
      </c>
      <c r="F52" s="10" t="inlineStr">
        <is>
          <t>Active</t>
        </is>
      </c>
      <c r="G52" s="9" t="inlineStr">
        <is>
          <t>SAME</t>
        </is>
      </c>
      <c r="H52" s="10" t="inlineStr">
        <is>
          <t>'</t>
        </is>
      </c>
    </row>
    <row r="53">
      <c r="A53" s="9" t="inlineStr">
        <is>
          <t>Expense Portal (UAT)</t>
        </is>
      </c>
      <c r="B53" s="9" t="inlineStr">
        <is>
          <t>SP connection</t>
        </is>
      </c>
      <c r="C53" s="9" t="inlineStr">
        <is>
          <t>ACS URL (index 0)</t>
        </is>
      </c>
      <c r="D53" s="10" t="inlineStr">
        <is>
          <t>https://expenses-uat.northwind.example/saml/acs</t>
        </is>
      </c>
      <c r="E53" s="10" t="inlineStr">
        <is>
          <t>Protocol Settings &gt; Assertion Consumer Service URL (HTTP-POST)</t>
        </is>
      </c>
      <c r="F53" s="10" t="inlineStr">
        <is>
          <t>https://expenses-uat.northwind.example/saml/acs</t>
        </is>
      </c>
      <c r="G53" s="9" t="inlineStr">
        <is>
          <t>SAME</t>
        </is>
      </c>
      <c r="H53" s="10" t="inlineStr">
        <is>
          <t>'</t>
        </is>
      </c>
    </row>
    <row r="54">
      <c r="A54" s="9" t="inlineStr">
        <is>
          <t>Expense Portal (UAT)</t>
        </is>
      </c>
      <c r="B54" s="9" t="inlineStr">
        <is>
          <t>SP connection</t>
        </is>
      </c>
      <c r="C54" s="9" t="inlineStr">
        <is>
          <t>Default RelayState</t>
        </is>
      </c>
      <c r="D54" s="10" t="inlineStr">
        <is>
          <t>—</t>
        </is>
      </c>
      <c r="E54" s="10" t="inlineStr">
        <is>
          <t>IdP-initiated SSO TargetResource</t>
        </is>
      </c>
      <c r="F54" s="10" t="inlineStr">
        <is>
          <t>—</t>
        </is>
      </c>
      <c r="G54" s="9" t="inlineStr">
        <is>
          <t>N/A</t>
        </is>
      </c>
      <c r="H54" s="10" t="inlineStr">
        <is>
          <t>'</t>
        </is>
      </c>
    </row>
    <row r="55">
      <c r="A55" s="9" t="inlineStr">
        <is>
          <t>Expense Portal (UAT)</t>
        </is>
      </c>
      <c r="B55" s="9" t="inlineStr">
        <is>
          <t>SP connection</t>
        </is>
      </c>
      <c r="C55" s="9" t="inlineStr">
        <is>
          <t>Single logout</t>
        </is>
      </c>
      <c r="D55" s="10" t="inlineStr">
        <is>
          <t>No</t>
        </is>
      </c>
      <c r="E55" s="10" t="inlineStr">
        <is>
          <t>Protocol Settings &gt; SLO Service URL</t>
        </is>
      </c>
      <c r="F55" s="10" t="inlineStr">
        <is>
          <t>—</t>
        </is>
      </c>
      <c r="G55" s="9" t="inlineStr">
        <is>
          <t>N/A</t>
        </is>
      </c>
      <c r="H55" s="10" t="inlineStr">
        <is>
          <t>'</t>
        </is>
      </c>
    </row>
    <row r="56">
      <c r="A56" s="9" t="inlineStr">
        <is>
          <t>Expense Portal (UAT)</t>
        </is>
      </c>
      <c r="B56" s="9" t="inlineStr">
        <is>
          <t>SP connection</t>
        </is>
      </c>
      <c r="C56" s="9" t="inlineStr">
        <is>
          <t>Signed AuthnRequests</t>
        </is>
      </c>
      <c r="D56" s="10" t="inlineStr">
        <is>
          <t>No</t>
        </is>
      </c>
      <c r="E56" s="10" t="inlineStr">
        <is>
          <t>Signature Verification &gt; require signed AuthnRequests + SP certificate</t>
        </is>
      </c>
      <c r="F56" s="10" t="inlineStr">
        <is>
          <t>Not required</t>
        </is>
      </c>
      <c r="G56" s="9" t="inlineStr">
        <is>
          <t>N/A</t>
        </is>
      </c>
      <c r="H56" s="10" t="inlineStr">
        <is>
          <t>'</t>
        </is>
      </c>
    </row>
    <row r="57">
      <c r="A57" s="9" t="inlineStr">
        <is>
          <t>Expense Portal (UAT)</t>
        </is>
      </c>
      <c r="B57" s="9" t="inlineStr">
        <is>
          <t>IdP identity</t>
        </is>
      </c>
      <c r="C57" s="9" t="inlineStr">
        <is>
          <t>IdP entity ID (Issuer)</t>
        </is>
      </c>
      <c r="D57" s="10" t="inlineStr">
        <is>
          <t>http://www.okta.com/exk1expenseuat00011</t>
        </is>
      </c>
      <c r="E57" s="10" t="inlineStr">
        <is>
          <t>Server Settings &gt; SAML 2.0 Entity ID</t>
        </is>
      </c>
      <c r="F57" s="10" t="inlineStr">
        <is>
          <t>https://sso.example.com</t>
        </is>
      </c>
      <c r="G57" s="9" t="inlineStr">
        <is>
          <t>SP_UPDATE</t>
        </is>
      </c>
      <c r="H57" s="10" t="inlineStr">
        <is>
          <t>SP must trust the new issuer</t>
        </is>
      </c>
    </row>
    <row r="58">
      <c r="A58" s="9" t="inlineStr">
        <is>
          <t>Expense Portal (UAT)</t>
        </is>
      </c>
      <c r="B58" s="9" t="inlineStr">
        <is>
          <t>IdP identity</t>
        </is>
      </c>
      <c r="C58" s="9" t="inlineStr">
        <is>
          <t>SSO URL</t>
        </is>
      </c>
      <c r="D58" s="10" t="inlineStr">
        <is>
          <t>https://northwind.okta.com/app/northwind_expenseportaluat_1/exk1expenseuat00011/sso/saml</t>
        </is>
      </c>
      <c r="E58" s="10" t="inlineStr">
        <is>
          <t>Runtime SSO endpoint</t>
        </is>
      </c>
      <c r="F58" s="10" t="inlineStr">
        <is>
          <t>https://sso.example.com/idp/SSO.saml2</t>
        </is>
      </c>
      <c r="G58" s="9" t="inlineStr">
        <is>
          <t>SP_UPDATE</t>
        </is>
      </c>
      <c r="H58" s="10" t="inlineStr">
        <is>
          <t>'</t>
        </is>
      </c>
    </row>
    <row r="59">
      <c r="A59" s="9" t="inlineStr">
        <is>
          <t>Expense Portal (UAT)</t>
        </is>
      </c>
      <c r="B59" s="9" t="inlineStr">
        <is>
          <t>IdP identity</t>
        </is>
      </c>
      <c r="C59" s="9" t="inlineStr">
        <is>
          <t>IdP-initiated SSO link</t>
        </is>
      </c>
      <c r="D59" s="10" t="inlineStr">
        <is>
          <t>Okta app embed link</t>
        </is>
      </c>
      <c r="E59" s="10" t="inlineStr">
        <is>
          <t>IdP-initiated SSO URL</t>
        </is>
      </c>
      <c r="F59" s="10" t="inlineStr">
        <is>
          <t>https://sso.example.com/idp/startSSO.ping?PartnerSpId=https%3A%2F%2Fexpenses.northwind.example</t>
        </is>
      </c>
      <c r="G59" s="9" t="inlineStr">
        <is>
          <t>SP_UPDATE</t>
        </is>
      </c>
      <c r="H59" s="10" t="inlineStr">
        <is>
          <t>Update portal bookmarks and links</t>
        </is>
      </c>
    </row>
    <row r="60">
      <c r="A60" s="9" t="inlineStr">
        <is>
          <t>Expense Portal (UAT)</t>
        </is>
      </c>
      <c r="B60" s="9" t="inlineStr">
        <is>
          <t>IdP identity</t>
        </is>
      </c>
      <c r="C60" s="9" t="inlineStr">
        <is>
          <t>IdP metadata</t>
        </is>
      </c>
      <c r="D60" s="10" t="inlineStr">
        <is>
          <t>Okta app metadata URL</t>
        </is>
      </c>
      <c r="E60" s="10" t="inlineStr">
        <is>
          <t>Metadata export URL</t>
        </is>
      </c>
      <c r="F60" s="10" t="inlineStr">
        <is>
          <t>https://sso.example.com/pf/federation_metadata.ping?PartnerSpId=https%3A%2F%2Fexpenses.northwind.example</t>
        </is>
      </c>
      <c r="G60" s="9" t="inlineStr">
        <is>
          <t>SP_UPDATE</t>
        </is>
      </c>
      <c r="H60" s="10" t="inlineStr">
        <is>
          <t>'</t>
        </is>
      </c>
    </row>
    <row r="61">
      <c r="A61" s="9" t="inlineStr">
        <is>
          <t>Expense Portal (UAT)</t>
        </is>
      </c>
      <c r="B61" s="9" t="inlineStr">
        <is>
          <t>IdP identity</t>
        </is>
      </c>
      <c r="C61" s="9" t="inlineStr">
        <is>
          <t>Signing certificate</t>
        </is>
      </c>
      <c r="D61" s="10" t="inlineStr">
        <is>
          <t>BF999BFA324FF03706A54F1D8837C408CC860D73 (expires 2029-06-01)</t>
        </is>
      </c>
      <c r="E61" s="10" t="inlineStr">
        <is>
          <t>Signature Policy &gt; Signing Certificate</t>
        </is>
      </c>
      <c r="F61" s="10" t="inlineStr">
        <is>
          <t>PingFederate signing key (new)</t>
        </is>
      </c>
      <c r="G61" s="9" t="inlineStr">
        <is>
          <t>SP_UPDATE</t>
        </is>
      </c>
      <c r="H61" s="10" t="inlineStr">
        <is>
          <t>Okta does not export private keys - SP must trust the new certificate</t>
        </is>
      </c>
    </row>
    <row r="62">
      <c r="A62" s="9" t="inlineStr">
        <is>
          <t>Expense Portal (UAT)</t>
        </is>
      </c>
      <c r="B62" s="9" t="inlineStr">
        <is>
          <t>Assertion</t>
        </is>
      </c>
      <c r="C62" s="9" t="inlineStr">
        <is>
          <t>NameID format</t>
        </is>
      </c>
      <c r="D62" s="10" t="inlineStr">
        <is>
          <t>urn:oasis:names:tc:SAML:1.1:nameid-format:emailAddress</t>
        </is>
      </c>
      <c r="E62" s="10" t="inlineStr">
        <is>
          <t>Attribute Contract &gt; SAML_SUBJECT format</t>
        </is>
      </c>
      <c r="F62" s="10" t="inlineStr">
        <is>
          <t>urn:oasis:names:tc:SAML:1.1:nameid-format:emailAddress</t>
        </is>
      </c>
      <c r="G62" s="9" t="inlineStr">
        <is>
          <t>SAME</t>
        </is>
      </c>
      <c r="H62" s="10" t="inlineStr">
        <is>
          <t>'</t>
        </is>
      </c>
    </row>
    <row r="63">
      <c r="A63" s="9" t="inlineStr">
        <is>
          <t>Expense Portal (UAT)</t>
        </is>
      </c>
      <c r="B63" s="9" t="inlineStr">
        <is>
          <t>Assertion</t>
        </is>
      </c>
      <c r="C63" s="9" t="inlineStr">
        <is>
          <t>NameID value</t>
        </is>
      </c>
      <c r="D63" s="10" t="inlineStr">
        <is>
          <t>${user.email}</t>
        </is>
      </c>
      <c r="E63" s="10" t="inlineStr">
        <is>
          <t>Contract Fulfillment &gt; SAML_SUBJECT</t>
        </is>
      </c>
      <c r="F63" s="10" t="inlineStr">
        <is>
          <t>LDAP: mail</t>
        </is>
      </c>
      <c r="G63" s="9" t="inlineStr">
        <is>
          <t>SAME</t>
        </is>
      </c>
      <c r="H63" s="10" t="inlineStr">
        <is>
          <t>'</t>
        </is>
      </c>
    </row>
    <row r="64">
      <c r="A64" s="9" t="inlineStr">
        <is>
          <t>Expense Portal (UAT)</t>
        </is>
      </c>
      <c r="B64" s="9" t="inlineStr">
        <is>
          <t>Assertion</t>
        </is>
      </c>
      <c r="C64" s="9" t="inlineStr">
        <is>
          <t>Signing</t>
        </is>
      </c>
      <c r="D64" s="10" t="inlineStr">
        <is>
          <t>response + assertion</t>
        </is>
      </c>
      <c r="E64" s="10" t="inlineStr">
        <is>
          <t>Signature Policy</t>
        </is>
      </c>
      <c r="F64" s="10" t="inlineStr">
        <is>
          <t>Sign response + 'Always sign the SAML assertion'</t>
        </is>
      </c>
      <c r="G64" s="9" t="inlineStr">
        <is>
          <t>CONFIGURE</t>
        </is>
      </c>
      <c r="H64" s="10" t="inlineStr">
        <is>
          <t>'</t>
        </is>
      </c>
    </row>
    <row r="65">
      <c r="A65" s="9" t="inlineStr">
        <is>
          <t>Expense Portal (UAT)</t>
        </is>
      </c>
      <c r="B65" s="9" t="inlineStr">
        <is>
          <t>Assertion</t>
        </is>
      </c>
      <c r="C65" s="9" t="inlineStr">
        <is>
          <t>Signature algorithm</t>
        </is>
      </c>
      <c r="D65" s="10" t="inlineStr">
        <is>
          <t>RSA_SHA256</t>
        </is>
      </c>
      <c r="E65" s="10" t="inlineStr">
        <is>
          <t>Signature Policy &gt; Signing Algorithm</t>
        </is>
      </c>
      <c r="F65" s="10" t="inlineStr">
        <is>
          <t>RSA SHA256</t>
        </is>
      </c>
      <c r="G65" s="9" t="inlineStr">
        <is>
          <t>SAME</t>
        </is>
      </c>
      <c r="H65" s="10" t="inlineStr">
        <is>
          <t>'</t>
        </is>
      </c>
    </row>
    <row r="66">
      <c r="A66" s="9" t="inlineStr">
        <is>
          <t>Expense Portal (UAT)</t>
        </is>
      </c>
      <c r="B66" s="9" t="inlineStr">
        <is>
          <t>Assertion</t>
        </is>
      </c>
      <c r="C66" s="9" t="inlineStr">
        <is>
          <t>AuthnContextClassRef</t>
        </is>
      </c>
      <c r="D66" s="10" t="inlineStr">
        <is>
          <t>urn:oasis:names:tc:SAML:2.0:ac:classes:PasswordProtectedTransport</t>
        </is>
      </c>
      <c r="E66" s="10" t="inlineStr">
        <is>
          <t>Authentication policy / adapter mapping</t>
        </is>
      </c>
      <c r="F66" s="10" t="inlineStr">
        <is>
          <t>urn:oasis:names:tc:SAML:2.0:ac:classes:PasswordProtectedTransport</t>
        </is>
      </c>
      <c r="G66" s="9" t="inlineStr">
        <is>
          <t>SAME</t>
        </is>
      </c>
      <c r="H66" s="10" t="inlineStr">
        <is>
          <t>'</t>
        </is>
      </c>
    </row>
    <row r="67">
      <c r="A67" s="9" t="inlineStr">
        <is>
          <t>Expense Portal (UAT)</t>
        </is>
      </c>
      <c r="B67" s="9" t="inlineStr">
        <is>
          <t>Assertion</t>
        </is>
      </c>
      <c r="C67" s="9" t="inlineStr">
        <is>
          <t>Assertion lifetime</t>
        </is>
      </c>
      <c r="D67" s="10" t="inlineStr">
        <is>
          <t>300 s</t>
        </is>
      </c>
      <c r="E67" s="10" t="inlineStr">
        <is>
          <t>Protocol Settings &gt; Assertion Lifetime (minutes before / after)</t>
        </is>
      </c>
      <c r="F67" s="10" t="inlineStr">
        <is>
          <t>5 / 5</t>
        </is>
      </c>
      <c r="G67" s="9" t="inlineStr">
        <is>
          <t>SAME</t>
        </is>
      </c>
      <c r="H67" s="10" t="inlineStr">
        <is>
          <t>'</t>
        </is>
      </c>
    </row>
    <row r="68">
      <c r="A68" s="9" t="inlineStr">
        <is>
          <t>Expense Portal (UAT)</t>
        </is>
      </c>
      <c r="B68" s="9" t="inlineStr">
        <is>
          <t>Assertion</t>
        </is>
      </c>
      <c r="C68" s="9" t="inlineStr">
        <is>
          <t>App username</t>
        </is>
      </c>
      <c r="D68" s="10" t="inlineStr">
        <is>
          <t>${source.email}</t>
        </is>
      </c>
      <c r="E68" s="10" t="inlineStr">
        <is>
          <t>Used via SAML_SUBJECT / attributes</t>
        </is>
      </c>
      <c r="F68" s="10" t="inlineStr">
        <is>
          <t>Directory attribute</t>
        </is>
      </c>
      <c r="G68" s="9" t="inlineStr">
        <is>
          <t>SAME</t>
        </is>
      </c>
      <c r="H68" s="10" t="inlineStr">
        <is>
          <t>'</t>
        </is>
      </c>
    </row>
    <row r="69">
      <c r="A69" s="9" t="inlineStr">
        <is>
          <t>Expense Portal (UAT)</t>
        </is>
      </c>
      <c r="B69" s="9" t="inlineStr">
        <is>
          <t>Attributes</t>
        </is>
      </c>
      <c r="C69" s="9" t="inlineStr">
        <is>
          <t>email</t>
        </is>
      </c>
      <c r="D69" s="10" t="inlineStr">
        <is>
          <t>user.email</t>
        </is>
      </c>
      <c r="E69" s="10" t="inlineStr">
        <is>
          <t>Attribute Contract 'email' &lt;- DATA_STORE</t>
        </is>
      </c>
      <c r="F69" s="10" t="inlineStr">
        <is>
          <t>LDAP: mail</t>
        </is>
      </c>
      <c r="G69" s="9" t="inlineStr">
        <is>
          <t>SAME</t>
        </is>
      </c>
      <c r="H69" s="10" t="inlineStr">
        <is>
          <t>'</t>
        </is>
      </c>
    </row>
    <row r="70">
      <c r="A70" s="9" t="inlineStr">
        <is>
          <t>Expense Portal (UAT)</t>
        </is>
      </c>
      <c r="B70" s="9" t="inlineStr">
        <is>
          <t>Access control</t>
        </is>
      </c>
      <c r="C70" s="9" t="inlineStr">
        <is>
          <t>Assigned groups</t>
        </is>
      </c>
      <c r="D70" s="10" t="inlineStr">
        <is>
          <t>Finance</t>
        </is>
      </c>
      <c r="E70" s="10" t="inlineStr">
        <is>
          <t>Issuance Criteria (memberOf)</t>
        </is>
      </c>
      <c r="F70" s="10" t="inlineStr">
        <is>
          <t>memberOf includes one of: Finance</t>
        </is>
      </c>
      <c r="G70" s="9" t="inlineStr">
        <is>
          <t>ACTION</t>
        </is>
      </c>
      <c r="H70" s="10" t="inlineStr">
        <is>
          <t>Without this, any authenticated user gets an assertion</t>
        </is>
      </c>
    </row>
    <row r="71">
      <c r="A71" s="9" t="inlineStr">
        <is>
          <t>Expense Portal (UAT)</t>
        </is>
      </c>
      <c r="B71" s="9" t="inlineStr">
        <is>
          <t>Access control</t>
        </is>
      </c>
      <c r="C71" s="9" t="inlineStr">
        <is>
          <t>Okta-only groups</t>
        </is>
      </c>
      <c r="D71" s="10" t="inlineStr">
        <is>
          <t>Finance</t>
        </is>
      </c>
      <c r="E71" s="10" t="inlineStr">
        <is>
          <t>Directory groups</t>
        </is>
      </c>
      <c r="F71" s="10" t="inlineStr">
        <is>
          <t>Create and populate in the directory</t>
        </is>
      </c>
      <c r="G71" s="9" t="inlineStr">
        <is>
          <t>ACTION</t>
        </is>
      </c>
      <c r="H71" s="10" t="inlineStr">
        <is>
          <t>'</t>
        </is>
      </c>
    </row>
    <row r="72">
      <c r="A72" s="9" t="inlineStr">
        <is>
          <t>HR Analytics (Tableau)</t>
        </is>
      </c>
      <c r="B72" s="9" t="inlineStr">
        <is>
          <t>SP connection</t>
        </is>
      </c>
      <c r="C72" s="9" t="inlineStr">
        <is>
          <t>Connection name</t>
        </is>
      </c>
      <c r="D72" s="10" t="inlineStr">
        <is>
          <t>HR Analytics (Tableau)</t>
        </is>
      </c>
      <c r="E72" s="10" t="inlineStr">
        <is>
          <t>SP Connection &gt; General Info &gt; Connection Name</t>
        </is>
      </c>
      <c r="F72" s="10" t="inlineStr">
        <is>
          <t>HR Analytics (Tableau)</t>
        </is>
      </c>
      <c r="G72" s="9" t="inlineStr">
        <is>
          <t>CONFIGURE</t>
        </is>
      </c>
      <c r="H72" s="10" t="inlineStr">
        <is>
          <t>'</t>
        </is>
      </c>
    </row>
    <row r="73">
      <c r="A73" s="9" t="inlineStr">
        <is>
          <t>HR Analytics (Tableau)</t>
        </is>
      </c>
      <c r="B73" s="9" t="inlineStr">
        <is>
          <t>SP connection</t>
        </is>
      </c>
      <c r="C73" s="9" t="inlineStr">
        <is>
          <t>SP entity ID</t>
        </is>
      </c>
      <c r="D73" s="10" t="inlineStr">
        <is>
          <t>https://tableau.northwind.example</t>
        </is>
      </c>
      <c r="E73" s="10" t="inlineStr">
        <is>
          <t>Partner's Entity ID (Connection ID)</t>
        </is>
      </c>
      <c r="F73" s="10" t="inlineStr">
        <is>
          <t>https://tableau.northwind.example</t>
        </is>
      </c>
      <c r="G73" s="9" t="inlineStr">
        <is>
          <t>SAME</t>
        </is>
      </c>
      <c r="H73" s="10" t="inlineStr">
        <is>
          <t>'</t>
        </is>
      </c>
    </row>
    <row r="74">
      <c r="A74" s="9" t="inlineStr">
        <is>
          <t>HR Analytics (Tableau)</t>
        </is>
      </c>
      <c r="B74" s="9" t="inlineStr">
        <is>
          <t>SP connection</t>
        </is>
      </c>
      <c r="C74" s="9" t="inlineStr">
        <is>
          <t>Okta app status</t>
        </is>
      </c>
      <c r="D74" s="10" t="inlineStr">
        <is>
          <t>ACTIVE</t>
        </is>
      </c>
      <c r="E74" s="10" t="inlineStr">
        <is>
          <t>Connection status</t>
        </is>
      </c>
      <c r="F74" s="10" t="inlineStr">
        <is>
          <t>Active</t>
        </is>
      </c>
      <c r="G74" s="9" t="inlineStr">
        <is>
          <t>SAME</t>
        </is>
      </c>
      <c r="H74" s="10" t="inlineStr">
        <is>
          <t>'</t>
        </is>
      </c>
    </row>
    <row r="75">
      <c r="A75" s="9" t="inlineStr">
        <is>
          <t>HR Analytics (Tableau)</t>
        </is>
      </c>
      <c r="B75" s="9" t="inlineStr">
        <is>
          <t>SP connection</t>
        </is>
      </c>
      <c r="C75" s="9" t="inlineStr">
        <is>
          <t>ACS URL (index 0)</t>
        </is>
      </c>
      <c r="D75" s="10" t="inlineStr">
        <is>
          <t>https://tableau.northwind.example/wg/saml/SSO/index.html</t>
        </is>
      </c>
      <c r="E75" s="10" t="inlineStr">
        <is>
          <t>Protocol Settings &gt; Assertion Consumer Service URL (HTTP-POST)</t>
        </is>
      </c>
      <c r="F75" s="10" t="inlineStr">
        <is>
          <t>https://tableau.northwind.example/wg/saml/SSO/index.html</t>
        </is>
      </c>
      <c r="G75" s="9" t="inlineStr">
        <is>
          <t>SAME</t>
        </is>
      </c>
      <c r="H75" s="10" t="inlineStr">
        <is>
          <t>'</t>
        </is>
      </c>
    </row>
    <row r="76">
      <c r="A76" s="9" t="inlineStr">
        <is>
          <t>HR Analytics (Tableau)</t>
        </is>
      </c>
      <c r="B76" s="9" t="inlineStr">
        <is>
          <t>SP connection</t>
        </is>
      </c>
      <c r="C76" s="9" t="inlineStr">
        <is>
          <t>Default RelayState</t>
        </is>
      </c>
      <c r="D76" s="10" t="inlineStr">
        <is>
          <t>—</t>
        </is>
      </c>
      <c r="E76" s="10" t="inlineStr">
        <is>
          <t>IdP-initiated SSO TargetResource</t>
        </is>
      </c>
      <c r="F76" s="10" t="inlineStr">
        <is>
          <t>—</t>
        </is>
      </c>
      <c r="G76" s="9" t="inlineStr">
        <is>
          <t>N/A</t>
        </is>
      </c>
      <c r="H76" s="10" t="inlineStr">
        <is>
          <t>'</t>
        </is>
      </c>
    </row>
    <row r="77">
      <c r="A77" s="9" t="inlineStr">
        <is>
          <t>HR Analytics (Tableau)</t>
        </is>
      </c>
      <c r="B77" s="9" t="inlineStr">
        <is>
          <t>SP connection</t>
        </is>
      </c>
      <c r="C77" s="9" t="inlineStr">
        <is>
          <t>Single logout</t>
        </is>
      </c>
      <c r="D77" s="10" t="inlineStr">
        <is>
          <t>No</t>
        </is>
      </c>
      <c r="E77" s="10" t="inlineStr">
        <is>
          <t>Protocol Settings &gt; SLO Service URL</t>
        </is>
      </c>
      <c r="F77" s="10" t="inlineStr">
        <is>
          <t>—</t>
        </is>
      </c>
      <c r="G77" s="9" t="inlineStr">
        <is>
          <t>N/A</t>
        </is>
      </c>
      <c r="H77" s="10" t="inlineStr">
        <is>
          <t>'</t>
        </is>
      </c>
    </row>
    <row r="78">
      <c r="A78" s="9" t="inlineStr">
        <is>
          <t>HR Analytics (Tableau)</t>
        </is>
      </c>
      <c r="B78" s="9" t="inlineStr">
        <is>
          <t>SP connection</t>
        </is>
      </c>
      <c r="C78" s="9" t="inlineStr">
        <is>
          <t>Signed AuthnRequests</t>
        </is>
      </c>
      <c r="D78" s="10" t="inlineStr">
        <is>
          <t>No</t>
        </is>
      </c>
      <c r="E78" s="10" t="inlineStr">
        <is>
          <t>Signature Verification &gt; require signed AuthnRequests + SP certificate</t>
        </is>
      </c>
      <c r="F78" s="10" t="inlineStr">
        <is>
          <t>Not required</t>
        </is>
      </c>
      <c r="G78" s="9" t="inlineStr">
        <is>
          <t>N/A</t>
        </is>
      </c>
      <c r="H78" s="10" t="inlineStr">
        <is>
          <t>'</t>
        </is>
      </c>
    </row>
    <row r="79">
      <c r="A79" s="9" t="inlineStr">
        <is>
          <t>HR Analytics (Tableau)</t>
        </is>
      </c>
      <c r="B79" s="9" t="inlineStr">
        <is>
          <t>IdP identity</t>
        </is>
      </c>
      <c r="C79" s="9" t="inlineStr">
        <is>
          <t>IdP entity ID (Issuer)</t>
        </is>
      </c>
      <c r="D79" s="10" t="inlineStr">
        <is>
          <t>http://www.okta.com/exk2hranalytics0002</t>
        </is>
      </c>
      <c r="E79" s="10" t="inlineStr">
        <is>
          <t>Server Settings &gt; SAML 2.0 Entity ID</t>
        </is>
      </c>
      <c r="F79" s="10" t="inlineStr">
        <is>
          <t>https://sso.example.com</t>
        </is>
      </c>
      <c r="G79" s="9" t="inlineStr">
        <is>
          <t>SP_UPDATE</t>
        </is>
      </c>
      <c r="H79" s="10" t="inlineStr">
        <is>
          <t>SP must trust the new issuer</t>
        </is>
      </c>
    </row>
    <row r="80">
      <c r="A80" s="9" t="inlineStr">
        <is>
          <t>HR Analytics (Tableau)</t>
        </is>
      </c>
      <c r="B80" s="9" t="inlineStr">
        <is>
          <t>IdP identity</t>
        </is>
      </c>
      <c r="C80" s="9" t="inlineStr">
        <is>
          <t>SSO URL</t>
        </is>
      </c>
      <c r="D80" s="10" t="inlineStr">
        <is>
          <t>https://northwind.okta.com/app/northwind_hranalytics_1/exk2hranalytics0002/sso/saml</t>
        </is>
      </c>
      <c r="E80" s="10" t="inlineStr">
        <is>
          <t>Runtime SSO endpoint</t>
        </is>
      </c>
      <c r="F80" s="10" t="inlineStr">
        <is>
          <t>https://sso.example.com/idp/SSO.saml2</t>
        </is>
      </c>
      <c r="G80" s="9" t="inlineStr">
        <is>
          <t>SP_UPDATE</t>
        </is>
      </c>
      <c r="H80" s="10" t="inlineStr">
        <is>
          <t>'</t>
        </is>
      </c>
    </row>
    <row r="81">
      <c r="A81" s="9" t="inlineStr">
        <is>
          <t>HR Analytics (Tableau)</t>
        </is>
      </c>
      <c r="B81" s="9" t="inlineStr">
        <is>
          <t>IdP identity</t>
        </is>
      </c>
      <c r="C81" s="9" t="inlineStr">
        <is>
          <t>IdP-initiated SSO link</t>
        </is>
      </c>
      <c r="D81" s="10" t="inlineStr">
        <is>
          <t>Okta app embed link</t>
        </is>
      </c>
      <c r="E81" s="10" t="inlineStr">
        <is>
          <t>IdP-initiated SSO URL</t>
        </is>
      </c>
      <c r="F81" s="10" t="inlineStr">
        <is>
          <t>https://sso.example.com/idp/startSSO.ping?PartnerSpId=https%3A%2F%2Ftableau.northwind.example</t>
        </is>
      </c>
      <c r="G81" s="9" t="inlineStr">
        <is>
          <t>SP_UPDATE</t>
        </is>
      </c>
      <c r="H81" s="10" t="inlineStr">
        <is>
          <t>Update portal bookmarks and links</t>
        </is>
      </c>
    </row>
    <row r="82">
      <c r="A82" s="9" t="inlineStr">
        <is>
          <t>HR Analytics (Tableau)</t>
        </is>
      </c>
      <c r="B82" s="9" t="inlineStr">
        <is>
          <t>IdP identity</t>
        </is>
      </c>
      <c r="C82" s="9" t="inlineStr">
        <is>
          <t>IdP metadata</t>
        </is>
      </c>
      <c r="D82" s="10" t="inlineStr">
        <is>
          <t>Okta app metadata URL</t>
        </is>
      </c>
      <c r="E82" s="10" t="inlineStr">
        <is>
          <t>Metadata export URL</t>
        </is>
      </c>
      <c r="F82" s="10" t="inlineStr">
        <is>
          <t>https://sso.example.com/pf/federation_metadata.ping?PartnerSpId=https%3A%2F%2Ftableau.northwind.example</t>
        </is>
      </c>
      <c r="G82" s="9" t="inlineStr">
        <is>
          <t>SP_UPDATE</t>
        </is>
      </c>
      <c r="H82" s="10" t="inlineStr">
        <is>
          <t>'</t>
        </is>
      </c>
    </row>
    <row r="83">
      <c r="A83" s="9" t="inlineStr">
        <is>
          <t>HR Analytics (Tableau)</t>
        </is>
      </c>
      <c r="B83" s="9" t="inlineStr">
        <is>
          <t>IdP identity</t>
        </is>
      </c>
      <c r="C83" s="9" t="inlineStr">
        <is>
          <t>Signing certificate</t>
        </is>
      </c>
      <c r="D83" s="10" t="inlineStr">
        <is>
          <t>51B9755BA24577173B960DE74436344DD4271F4A (expires 2026-11-11)</t>
        </is>
      </c>
      <c r="E83" s="10" t="inlineStr">
        <is>
          <t>Signature Policy &gt; Signing Certificate</t>
        </is>
      </c>
      <c r="F83" s="10" t="inlineStr">
        <is>
          <t>PingFederate signing key (new)</t>
        </is>
      </c>
      <c r="G83" s="9" t="inlineStr">
        <is>
          <t>SP_UPDATE</t>
        </is>
      </c>
      <c r="H83" s="10" t="inlineStr">
        <is>
          <t>Okta does not export private keys - SP must trust the new certificate</t>
        </is>
      </c>
    </row>
    <row r="84">
      <c r="A84" s="9" t="inlineStr">
        <is>
          <t>HR Analytics (Tableau)</t>
        </is>
      </c>
      <c r="B84" s="9" t="inlineStr">
        <is>
          <t>Assertion</t>
        </is>
      </c>
      <c r="C84" s="9" t="inlineStr">
        <is>
          <t>NameID format</t>
        </is>
      </c>
      <c r="D84" s="10" t="inlineStr">
        <is>
          <t>urn:oasis:names:tc:SAML:1.1:nameid-format:unspecified</t>
        </is>
      </c>
      <c r="E84" s="10" t="inlineStr">
        <is>
          <t>Attribute Contract &gt; SAML_SUBJECT format</t>
        </is>
      </c>
      <c r="F84" s="10" t="inlineStr">
        <is>
          <t>urn:oasis:names:tc:SAML:1.1:nameid-format:unspecified</t>
        </is>
      </c>
      <c r="G84" s="9" t="inlineStr">
        <is>
          <t>SAME</t>
        </is>
      </c>
      <c r="H84" s="10" t="inlineStr">
        <is>
          <t>'</t>
        </is>
      </c>
    </row>
    <row r="85">
      <c r="A85" s="9" t="inlineStr">
        <is>
          <t>HR Analytics (Tableau)</t>
        </is>
      </c>
      <c r="B85" s="9" t="inlineStr">
        <is>
          <t>Assertion</t>
        </is>
      </c>
      <c r="C85" s="9" t="inlineStr">
        <is>
          <t>NameID value</t>
        </is>
      </c>
      <c r="D85" s="10" t="inlineStr">
        <is>
          <t>${user.userName}</t>
        </is>
      </c>
      <c r="E85" s="10" t="inlineStr">
        <is>
          <t>Contract Fulfillment &gt; SAML_SUBJECT</t>
        </is>
      </c>
      <c r="F85" s="10" t="inlineStr">
        <is>
          <t>LDAP: userPrincipalName (via app username ${source.login})</t>
        </is>
      </c>
      <c r="G85" s="9" t="inlineStr">
        <is>
          <t>SAME</t>
        </is>
      </c>
      <c r="H85" s="10" t="inlineStr">
        <is>
          <t>'</t>
        </is>
      </c>
    </row>
    <row r="86">
      <c r="A86" s="9" t="inlineStr">
        <is>
          <t>HR Analytics (Tableau)</t>
        </is>
      </c>
      <c r="B86" s="9" t="inlineStr">
        <is>
          <t>Assertion</t>
        </is>
      </c>
      <c r="C86" s="9" t="inlineStr">
        <is>
          <t>Signing</t>
        </is>
      </c>
      <c r="D86" s="10" t="inlineStr">
        <is>
          <t>response + assertion</t>
        </is>
      </c>
      <c r="E86" s="10" t="inlineStr">
        <is>
          <t>Signature Policy</t>
        </is>
      </c>
      <c r="F86" s="10" t="inlineStr">
        <is>
          <t>Sign response + 'Always sign the SAML assertion'</t>
        </is>
      </c>
      <c r="G86" s="9" t="inlineStr">
        <is>
          <t>CONFIGURE</t>
        </is>
      </c>
      <c r="H86" s="10" t="inlineStr">
        <is>
          <t>'</t>
        </is>
      </c>
    </row>
    <row r="87">
      <c r="A87" s="9" t="inlineStr">
        <is>
          <t>HR Analytics (Tableau)</t>
        </is>
      </c>
      <c r="B87" s="9" t="inlineStr">
        <is>
          <t>Assertion</t>
        </is>
      </c>
      <c r="C87" s="9" t="inlineStr">
        <is>
          <t>Signature algorithm</t>
        </is>
      </c>
      <c r="D87" s="10" t="inlineStr">
        <is>
          <t>RSA_SHA256</t>
        </is>
      </c>
      <c r="E87" s="10" t="inlineStr">
        <is>
          <t>Signature Policy &gt; Signing Algorithm</t>
        </is>
      </c>
      <c r="F87" s="10" t="inlineStr">
        <is>
          <t>RSA SHA256</t>
        </is>
      </c>
      <c r="G87" s="9" t="inlineStr">
        <is>
          <t>SAME</t>
        </is>
      </c>
      <c r="H87" s="10" t="inlineStr">
        <is>
          <t>'</t>
        </is>
      </c>
    </row>
    <row r="88">
      <c r="A88" s="9" t="inlineStr">
        <is>
          <t>HR Analytics (Tableau)</t>
        </is>
      </c>
      <c r="B88" s="9" t="inlineStr">
        <is>
          <t>Assertion</t>
        </is>
      </c>
      <c r="C88" s="9" t="inlineStr">
        <is>
          <t>AuthnContextClassRef</t>
        </is>
      </c>
      <c r="D88" s="10" t="inlineStr">
        <is>
          <t>urn:oasis:names:tc:SAML:2.0:ac:classes:PasswordProtectedTransport</t>
        </is>
      </c>
      <c r="E88" s="10" t="inlineStr">
        <is>
          <t>Authentication policy / adapter mapping</t>
        </is>
      </c>
      <c r="F88" s="10" t="inlineStr">
        <is>
          <t>urn:oasis:names:tc:SAML:2.0:ac:classes:PasswordProtectedTransport</t>
        </is>
      </c>
      <c r="G88" s="9" t="inlineStr">
        <is>
          <t>SAME</t>
        </is>
      </c>
      <c r="H88" s="10" t="inlineStr">
        <is>
          <t>'</t>
        </is>
      </c>
    </row>
    <row r="89">
      <c r="A89" s="9" t="inlineStr">
        <is>
          <t>HR Analytics (Tableau)</t>
        </is>
      </c>
      <c r="B89" s="9" t="inlineStr">
        <is>
          <t>Assertion</t>
        </is>
      </c>
      <c r="C89" s="9" t="inlineStr">
        <is>
          <t>Assertion lifetime</t>
        </is>
      </c>
      <c r="D89" s="10" t="inlineStr">
        <is>
          <t>300 s</t>
        </is>
      </c>
      <c r="E89" s="10" t="inlineStr">
        <is>
          <t>Protocol Settings &gt; Assertion Lifetime (minutes before / after)</t>
        </is>
      </c>
      <c r="F89" s="10" t="inlineStr">
        <is>
          <t>5 / 5</t>
        </is>
      </c>
      <c r="G89" s="9" t="inlineStr">
        <is>
          <t>SAME</t>
        </is>
      </c>
      <c r="H89" s="10" t="inlineStr">
        <is>
          <t>'</t>
        </is>
      </c>
    </row>
    <row r="90">
      <c r="A90" s="9" t="inlineStr">
        <is>
          <t>HR Analytics (Tableau)</t>
        </is>
      </c>
      <c r="B90" s="9" t="inlineStr">
        <is>
          <t>Assertion</t>
        </is>
      </c>
      <c r="C90" s="9" t="inlineStr">
        <is>
          <t>App username</t>
        </is>
      </c>
      <c r="D90" s="10" t="inlineStr">
        <is>
          <t>${source.login}</t>
        </is>
      </c>
      <c r="E90" s="10" t="inlineStr">
        <is>
          <t>Used via SAML_SUBJECT / attributes</t>
        </is>
      </c>
      <c r="F90" s="10" t="inlineStr">
        <is>
          <t>Directory attribute</t>
        </is>
      </c>
      <c r="G90" s="9" t="inlineStr">
        <is>
          <t>SAME</t>
        </is>
      </c>
      <c r="H90" s="10" t="inlineStr">
        <is>
          <t>'</t>
        </is>
      </c>
    </row>
    <row r="91">
      <c r="A91" s="9" t="inlineStr">
        <is>
          <t>HR Analytics (Tableau)</t>
        </is>
      </c>
      <c r="B91" s="9" t="inlineStr">
        <is>
          <t>Attributes</t>
        </is>
      </c>
      <c r="C91" s="9" t="inlineStr">
        <is>
          <t>firstName</t>
        </is>
      </c>
      <c r="D91" s="10" t="inlineStr">
        <is>
          <t>user.firstName</t>
        </is>
      </c>
      <c r="E91" s="10" t="inlineStr">
        <is>
          <t>Attribute Contract 'firstName' &lt;- DATA_STORE</t>
        </is>
      </c>
      <c r="F91" s="10" t="inlineStr">
        <is>
          <t>LDAP: givenName</t>
        </is>
      </c>
      <c r="G91" s="9" t="inlineStr">
        <is>
          <t>SAME</t>
        </is>
      </c>
      <c r="H91" s="10" t="inlineStr">
        <is>
          <t>'</t>
        </is>
      </c>
    </row>
    <row r="92">
      <c r="A92" s="9" t="inlineStr">
        <is>
          <t>HR Analytics (Tableau)</t>
        </is>
      </c>
      <c r="B92" s="9" t="inlineStr">
        <is>
          <t>Attributes</t>
        </is>
      </c>
      <c r="C92" s="9" t="inlineStr">
        <is>
          <t>lastName</t>
        </is>
      </c>
      <c r="D92" s="10" t="inlineStr">
        <is>
          <t>user.lastName</t>
        </is>
      </c>
      <c r="E92" s="10" t="inlineStr">
        <is>
          <t>Attribute Contract 'lastName' &lt;- DATA_STORE</t>
        </is>
      </c>
      <c r="F92" s="10" t="inlineStr">
        <is>
          <t>LDAP: sn</t>
        </is>
      </c>
      <c r="G92" s="9" t="inlineStr">
        <is>
          <t>SAME</t>
        </is>
      </c>
      <c r="H92" s="10" t="inlineStr">
        <is>
          <t>'</t>
        </is>
      </c>
    </row>
    <row r="93">
      <c r="A93" s="9" t="inlineStr">
        <is>
          <t>HR Analytics (Tableau)</t>
        </is>
      </c>
      <c r="B93" s="9" t="inlineStr">
        <is>
          <t>Attributes</t>
        </is>
      </c>
      <c r="C93" s="9" t="inlineStr">
        <is>
          <t>email</t>
        </is>
      </c>
      <c r="D93" s="10" t="inlineStr">
        <is>
          <t>user.email</t>
        </is>
      </c>
      <c r="E93" s="10" t="inlineStr">
        <is>
          <t>Attribute Contract 'email' &lt;- DATA_STORE</t>
        </is>
      </c>
      <c r="F93" s="10" t="inlineStr">
        <is>
          <t>LDAP: mail</t>
        </is>
      </c>
      <c r="G93" s="9" t="inlineStr">
        <is>
          <t>SAME</t>
        </is>
      </c>
      <c r="H93" s="10" t="inlineStr">
        <is>
          <t>'</t>
        </is>
      </c>
    </row>
    <row r="94">
      <c r="A94" s="9" t="inlineStr">
        <is>
          <t>HR Analytics (Tableau)</t>
        </is>
      </c>
      <c r="B94" s="9" t="inlineStr">
        <is>
          <t>Attributes</t>
        </is>
      </c>
      <c r="C94" s="9" t="inlineStr">
        <is>
          <t>employeeNumber</t>
        </is>
      </c>
      <c r="D94" s="10" t="inlineStr">
        <is>
          <t>user.employeeNumber</t>
        </is>
      </c>
      <c r="E94" s="10" t="inlineStr">
        <is>
          <t>Attribute Contract 'employeeNumber' &lt;- DATA_STORE</t>
        </is>
      </c>
      <c r="F94" s="10" t="inlineStr">
        <is>
          <t>LDAP: employeeID</t>
        </is>
      </c>
      <c r="G94" s="9" t="inlineStr">
        <is>
          <t>SAME</t>
        </is>
      </c>
      <c r="H94" s="10" t="inlineStr">
        <is>
          <t>'</t>
        </is>
      </c>
    </row>
    <row r="95">
      <c r="A95" s="9" t="inlineStr">
        <is>
          <t>HR Analytics (Tableau)</t>
        </is>
      </c>
      <c r="B95" s="9" t="inlineStr">
        <is>
          <t>Attributes</t>
        </is>
      </c>
      <c r="C95" s="9" t="inlineStr">
        <is>
          <t>displayName</t>
        </is>
      </c>
      <c r="D95" s="10" t="inlineStr">
        <is>
          <t>user.firstName + " " + user.lastName</t>
        </is>
      </c>
      <c r="E95" s="10" t="inlineStr">
        <is>
          <t>Attribute Contract 'displayName' &lt;- OGNL</t>
        </is>
      </c>
      <c r="F95" s="10" t="inlineStr">
        <is>
          <t>OGNL needed (&lt;concatenation&gt;); LDAP inputs: givenName, sn</t>
        </is>
      </c>
      <c r="G95" s="9" t="inlineStr">
        <is>
          <t>ACTION</t>
        </is>
      </c>
      <c r="H95" s="10" t="inlineStr">
        <is>
          <t>'</t>
        </is>
      </c>
    </row>
    <row r="96">
      <c r="A96" s="9" t="inlineStr">
        <is>
          <t>HR Analytics (Tableau)</t>
        </is>
      </c>
      <c r="B96" s="9" t="inlineStr">
        <is>
          <t>Attributes</t>
        </is>
      </c>
      <c r="C96" s="9" t="inlineStr">
        <is>
          <t>username</t>
        </is>
      </c>
      <c r="D96" s="10" t="inlineStr">
        <is>
          <t>String.substringBefore(user.login, "@")</t>
        </is>
      </c>
      <c r="E96" s="10" t="inlineStr">
        <is>
          <t>Attribute Contract 'username' &lt;- OGNL</t>
        </is>
      </c>
      <c r="F96" s="10" t="inlineStr">
        <is>
          <t>OGNL needed (String.substringBefore); LDAP inputs: userPrincipalName</t>
        </is>
      </c>
      <c r="G96" s="9" t="inlineStr">
        <is>
          <t>ACTION</t>
        </is>
      </c>
      <c r="H96" s="10" t="inlineStr">
        <is>
          <t>'</t>
        </is>
      </c>
    </row>
    <row r="97">
      <c r="A97" s="9" t="inlineStr">
        <is>
          <t>HR Analytics (Tableau)</t>
        </is>
      </c>
      <c r="B97" s="9" t="inlineStr">
        <is>
          <t>Attributes</t>
        </is>
      </c>
      <c r="C97" s="9" t="inlineStr">
        <is>
          <t>costCenter</t>
        </is>
      </c>
      <c r="D97" s="10" t="inlineStr">
        <is>
          <t>appuser.costCenter</t>
        </is>
      </c>
      <c r="E97" s="10" t="inlineStr">
        <is>
          <t>Attribute Contract 'costCenter' &lt;- APPUSER</t>
        </is>
      </c>
      <c r="F97" s="10" t="inlineStr">
        <is>
          <t>appuser.costCenter is an Okta app-user attribute; it must be stored in the directory (or derived from groups) first</t>
        </is>
      </c>
      <c r="G97" s="9" t="inlineStr">
        <is>
          <t>ACTION</t>
        </is>
      </c>
      <c r="H97" s="10" t="inlineStr">
        <is>
          <t>'</t>
        </is>
      </c>
    </row>
    <row r="98">
      <c r="A98" s="9" t="inlineStr">
        <is>
          <t>HR Analytics (Tableau)</t>
        </is>
      </c>
      <c r="B98" s="9" t="inlineStr">
        <is>
          <t>Access control</t>
        </is>
      </c>
      <c r="C98" s="9" t="inlineStr">
        <is>
          <t>Assigned groups</t>
        </is>
      </c>
      <c r="D98" s="10" t="inlineStr">
        <is>
          <t>HR-Analysts</t>
        </is>
      </c>
      <c r="E98" s="10" t="inlineStr">
        <is>
          <t>Issuance Criteria (memberOf)</t>
        </is>
      </c>
      <c r="F98" s="10" t="inlineStr">
        <is>
          <t>memberOf includes one of: HR-Analysts</t>
        </is>
      </c>
      <c r="G98" s="9" t="inlineStr">
        <is>
          <t>ACTION</t>
        </is>
      </c>
      <c r="H98" s="10" t="inlineStr">
        <is>
          <t>Without this, any authenticated user gets an assertion</t>
        </is>
      </c>
    </row>
    <row r="99">
      <c r="A99" s="9" t="inlineStr">
        <is>
          <t>HR Analytics (Tableau)</t>
        </is>
      </c>
      <c r="B99" s="9" t="inlineStr">
        <is>
          <t>Access control</t>
        </is>
      </c>
      <c r="C99" s="9" t="inlineStr">
        <is>
          <t>Direct user assignments</t>
        </is>
      </c>
      <c r="D99" s="10" t="inlineStr">
        <is>
          <t>2 user(s)</t>
        </is>
      </c>
      <c r="E99" s="10" t="inlineStr">
        <is>
          <t>Issuance Criteria</t>
        </is>
      </c>
      <c r="F99" s="10" t="inlineStr">
        <is>
          <t>Put users in a directory group</t>
        </is>
      </c>
      <c r="G99" s="9" t="inlineStr">
        <is>
          <t>ACTION</t>
        </is>
      </c>
      <c r="H99" s="10" t="inlineStr">
        <is>
          <t>'</t>
        </is>
      </c>
    </row>
    <row r="100">
      <c r="A100" s="9" t="inlineStr">
        <is>
          <t>HR Analytics (Tableau)</t>
        </is>
      </c>
      <c r="B100" s="9" t="inlineStr">
        <is>
          <t>Access control</t>
        </is>
      </c>
      <c r="C100" s="9" t="inlineStr">
        <is>
          <t>Okta-only groups</t>
        </is>
      </c>
      <c r="D100" s="10" t="inlineStr">
        <is>
          <t>HR-Analysts</t>
        </is>
      </c>
      <c r="E100" s="10" t="inlineStr">
        <is>
          <t>Directory groups</t>
        </is>
      </c>
      <c r="F100" s="10" t="inlineStr">
        <is>
          <t>Create and populate in the directory</t>
        </is>
      </c>
      <c r="G100" s="9" t="inlineStr">
        <is>
          <t>ACTION</t>
        </is>
      </c>
      <c r="H100" s="10" t="inlineStr">
        <is>
          <t>'</t>
        </is>
      </c>
    </row>
    <row r="101">
      <c r="A101" s="9" t="inlineStr">
        <is>
          <t>HR Analytics (Tableau)</t>
        </is>
      </c>
      <c r="B101" s="9" t="inlineStr">
        <is>
          <t>Access control</t>
        </is>
      </c>
      <c r="C101" s="9" t="inlineStr">
        <is>
          <t>Assignment attributes</t>
        </is>
      </c>
      <c r="D101" s="10" t="inlineStr">
        <is>
          <t>costCenter</t>
        </is>
      </c>
      <c r="E101" s="10" t="inlineStr">
        <is>
          <t>Directory attribute or group-derived value</t>
        </is>
      </c>
      <c r="F101" s="10" t="inlineStr">
        <is>
          <t>Store in the directory</t>
        </is>
      </c>
      <c r="G101" s="9" t="inlineStr">
        <is>
          <t>ACTION</t>
        </is>
      </c>
      <c r="H101" s="10" t="inlineStr">
        <is>
          <t>'</t>
        </is>
      </c>
    </row>
    <row r="102">
      <c r="A102" s="9" t="inlineStr">
        <is>
          <t>Legacy Travel Booking</t>
        </is>
      </c>
      <c r="B102" s="9" t="inlineStr">
        <is>
          <t>SP connection</t>
        </is>
      </c>
      <c r="C102" s="9" t="inlineStr">
        <is>
          <t>Connection name</t>
        </is>
      </c>
      <c r="D102" s="10" t="inlineStr">
        <is>
          <t>Legacy Travel Booking</t>
        </is>
      </c>
      <c r="E102" s="10" t="inlineStr">
        <is>
          <t>SP Connection &gt; General Info &gt; Connection Name</t>
        </is>
      </c>
      <c r="F102" s="10" t="inlineStr">
        <is>
          <t>Legacy Travel Booking</t>
        </is>
      </c>
      <c r="G102" s="9" t="inlineStr">
        <is>
          <t>CONFIGURE</t>
        </is>
      </c>
      <c r="H102" s="10" t="inlineStr">
        <is>
          <t>'</t>
        </is>
      </c>
    </row>
    <row r="103">
      <c r="A103" s="9" t="inlineStr">
        <is>
          <t>Legacy Travel Booking</t>
        </is>
      </c>
      <c r="B103" s="9" t="inlineStr">
        <is>
          <t>SP connection</t>
        </is>
      </c>
      <c r="C103" s="9" t="inlineStr">
        <is>
          <t>SP entity ID</t>
        </is>
      </c>
      <c r="D103" s="10" t="inlineStr">
        <is>
          <t>urn:northwind:travel</t>
        </is>
      </c>
      <c r="E103" s="10" t="inlineStr">
        <is>
          <t>Partner's Entity ID (Connection ID)</t>
        </is>
      </c>
      <c r="F103" s="10" t="inlineStr">
        <is>
          <t>urn:northwind:travel</t>
        </is>
      </c>
      <c r="G103" s="9" t="inlineStr">
        <is>
          <t>SAME</t>
        </is>
      </c>
      <c r="H103" s="10" t="inlineStr">
        <is>
          <t>'</t>
        </is>
      </c>
    </row>
    <row r="104">
      <c r="A104" s="9" t="inlineStr">
        <is>
          <t>Legacy Travel Booking</t>
        </is>
      </c>
      <c r="B104" s="9" t="inlineStr">
        <is>
          <t>SP connection</t>
        </is>
      </c>
      <c r="C104" s="9" t="inlineStr">
        <is>
          <t>Okta app status</t>
        </is>
      </c>
      <c r="D104" s="10" t="inlineStr">
        <is>
          <t>INACTIVE</t>
        </is>
      </c>
      <c r="E104" s="10" t="inlineStr">
        <is>
          <t>Connection status</t>
        </is>
      </c>
      <c r="F104" s="10" t="inlineStr">
        <is>
          <t>Create disabled or skip</t>
        </is>
      </c>
      <c r="G104" s="9" t="inlineStr">
        <is>
          <t>ACTION</t>
        </is>
      </c>
      <c r="H104" s="10" t="inlineStr">
        <is>
          <t>'</t>
        </is>
      </c>
    </row>
    <row r="105">
      <c r="A105" s="9" t="inlineStr">
        <is>
          <t>Legacy Travel Booking</t>
        </is>
      </c>
      <c r="B105" s="9" t="inlineStr">
        <is>
          <t>SP connection</t>
        </is>
      </c>
      <c r="C105" s="9" t="inlineStr">
        <is>
          <t>ACS URL (index 0)</t>
        </is>
      </c>
      <c r="D105" s="10" t="inlineStr">
        <is>
          <t>https://travel-old.northwind.example/sso/acs</t>
        </is>
      </c>
      <c r="E105" s="10" t="inlineStr">
        <is>
          <t>Protocol Settings &gt; Assertion Consumer Service URL (HTTP-POST)</t>
        </is>
      </c>
      <c r="F105" s="10" t="inlineStr">
        <is>
          <t>https://travel-old.northwind.example/sso/acs</t>
        </is>
      </c>
      <c r="G105" s="9" t="inlineStr">
        <is>
          <t>SAME</t>
        </is>
      </c>
      <c r="H105" s="10" t="inlineStr">
        <is>
          <t>'</t>
        </is>
      </c>
    </row>
    <row r="106">
      <c r="A106" s="9" t="inlineStr">
        <is>
          <t>Legacy Travel Booking</t>
        </is>
      </c>
      <c r="B106" s="9" t="inlineStr">
        <is>
          <t>SP connection</t>
        </is>
      </c>
      <c r="C106" s="9" t="inlineStr">
        <is>
          <t>Default RelayState</t>
        </is>
      </c>
      <c r="D106" s="10" t="inlineStr">
        <is>
          <t>—</t>
        </is>
      </c>
      <c r="E106" s="10" t="inlineStr">
        <is>
          <t>IdP-initiated SSO TargetResource</t>
        </is>
      </c>
      <c r="F106" s="10" t="inlineStr">
        <is>
          <t>—</t>
        </is>
      </c>
      <c r="G106" s="9" t="inlineStr">
        <is>
          <t>N/A</t>
        </is>
      </c>
      <c r="H106" s="10" t="inlineStr">
        <is>
          <t>'</t>
        </is>
      </c>
    </row>
    <row r="107">
      <c r="A107" s="9" t="inlineStr">
        <is>
          <t>Legacy Travel Booking</t>
        </is>
      </c>
      <c r="B107" s="9" t="inlineStr">
        <is>
          <t>SP connection</t>
        </is>
      </c>
      <c r="C107" s="9" t="inlineStr">
        <is>
          <t>Single logout</t>
        </is>
      </c>
      <c r="D107" s="10" t="inlineStr">
        <is>
          <t>No</t>
        </is>
      </c>
      <c r="E107" s="10" t="inlineStr">
        <is>
          <t>Protocol Settings &gt; SLO Service URL</t>
        </is>
      </c>
      <c r="F107" s="10" t="inlineStr">
        <is>
          <t>—</t>
        </is>
      </c>
      <c r="G107" s="9" t="inlineStr">
        <is>
          <t>N/A</t>
        </is>
      </c>
      <c r="H107" s="10" t="inlineStr">
        <is>
          <t>'</t>
        </is>
      </c>
    </row>
    <row r="108">
      <c r="A108" s="9" t="inlineStr">
        <is>
          <t>Legacy Travel Booking</t>
        </is>
      </c>
      <c r="B108" s="9" t="inlineStr">
        <is>
          <t>SP connection</t>
        </is>
      </c>
      <c r="C108" s="9" t="inlineStr">
        <is>
          <t>Signed AuthnRequests</t>
        </is>
      </c>
      <c r="D108" s="10" t="inlineStr">
        <is>
          <t>No</t>
        </is>
      </c>
      <c r="E108" s="10" t="inlineStr">
        <is>
          <t>Signature Verification &gt; require signed AuthnRequests + SP certificate</t>
        </is>
      </c>
      <c r="F108" s="10" t="inlineStr">
        <is>
          <t>Not required</t>
        </is>
      </c>
      <c r="G108" s="9" t="inlineStr">
        <is>
          <t>N/A</t>
        </is>
      </c>
      <c r="H108" s="10" t="inlineStr">
        <is>
          <t>'</t>
        </is>
      </c>
    </row>
    <row r="109">
      <c r="A109" s="9" t="inlineStr">
        <is>
          <t>Legacy Travel Booking</t>
        </is>
      </c>
      <c r="B109" s="9" t="inlineStr">
        <is>
          <t>IdP identity</t>
        </is>
      </c>
      <c r="C109" s="9" t="inlineStr">
        <is>
          <t>IdP entity ID (Issuer)</t>
        </is>
      </c>
      <c r="D109" s="10" t="inlineStr">
        <is>
          <t>http://www.okta.com/exk6legacytravel006</t>
        </is>
      </c>
      <c r="E109" s="10" t="inlineStr">
        <is>
          <t>Server Settings &gt; SAML 2.0 Entity ID</t>
        </is>
      </c>
      <c r="F109" s="10" t="inlineStr">
        <is>
          <t>https://sso.example.com</t>
        </is>
      </c>
      <c r="G109" s="9" t="inlineStr">
        <is>
          <t>SP_UPDATE</t>
        </is>
      </c>
      <c r="H109" s="10" t="inlineStr">
        <is>
          <t>SP must trust the new issuer</t>
        </is>
      </c>
    </row>
    <row r="110">
      <c r="A110" s="9" t="inlineStr">
        <is>
          <t>Legacy Travel Booking</t>
        </is>
      </c>
      <c r="B110" s="9" t="inlineStr">
        <is>
          <t>IdP identity</t>
        </is>
      </c>
      <c r="C110" s="9" t="inlineStr">
        <is>
          <t>SSO URL</t>
        </is>
      </c>
      <c r="D110" s="10" t="inlineStr">
        <is>
          <t>https://northwind.okta.com/app/northwind_legacytravel_1/exk6legacytravel006/sso/saml</t>
        </is>
      </c>
      <c r="E110" s="10" t="inlineStr">
        <is>
          <t>Runtime SSO endpoint</t>
        </is>
      </c>
      <c r="F110" s="10" t="inlineStr">
        <is>
          <t>https://sso.example.com/idp/SSO.saml2</t>
        </is>
      </c>
      <c r="G110" s="9" t="inlineStr">
        <is>
          <t>SP_UPDATE</t>
        </is>
      </c>
      <c r="H110" s="10" t="inlineStr">
        <is>
          <t>'</t>
        </is>
      </c>
    </row>
    <row r="111">
      <c r="A111" s="9" t="inlineStr">
        <is>
          <t>Legacy Travel Booking</t>
        </is>
      </c>
      <c r="B111" s="9" t="inlineStr">
        <is>
          <t>IdP identity</t>
        </is>
      </c>
      <c r="C111" s="9" t="inlineStr">
        <is>
          <t>IdP-initiated SSO link</t>
        </is>
      </c>
      <c r="D111" s="10" t="inlineStr">
        <is>
          <t>Okta app embed link</t>
        </is>
      </c>
      <c r="E111" s="10" t="inlineStr">
        <is>
          <t>IdP-initiated SSO URL</t>
        </is>
      </c>
      <c r="F111" s="10" t="inlineStr">
        <is>
          <t>https://sso.example.com/idp/startSSO.ping?PartnerSpId=urn%3Anorthwind%3Atravel</t>
        </is>
      </c>
      <c r="G111" s="9" t="inlineStr">
        <is>
          <t>SP_UPDATE</t>
        </is>
      </c>
      <c r="H111" s="10" t="inlineStr">
        <is>
          <t>Update portal bookmarks and links</t>
        </is>
      </c>
    </row>
    <row r="112">
      <c r="A112" s="9" t="inlineStr">
        <is>
          <t>Legacy Travel Booking</t>
        </is>
      </c>
      <c r="B112" s="9" t="inlineStr">
        <is>
          <t>IdP identity</t>
        </is>
      </c>
      <c r="C112" s="9" t="inlineStr">
        <is>
          <t>IdP metadata</t>
        </is>
      </c>
      <c r="D112" s="10" t="inlineStr">
        <is>
          <t>Okta app metadata URL</t>
        </is>
      </c>
      <c r="E112" s="10" t="inlineStr">
        <is>
          <t>Metadata export URL</t>
        </is>
      </c>
      <c r="F112" s="10" t="inlineStr">
        <is>
          <t>https://sso.example.com/pf/federation_metadata.ping?PartnerSpId=urn%3Anorthwind%3Atravel</t>
        </is>
      </c>
      <c r="G112" s="9" t="inlineStr">
        <is>
          <t>SP_UPDATE</t>
        </is>
      </c>
      <c r="H112" s="10" t="inlineStr">
        <is>
          <t>'</t>
        </is>
      </c>
    </row>
    <row r="113">
      <c r="A113" s="9" t="inlineStr">
        <is>
          <t>Legacy Travel Booking</t>
        </is>
      </c>
      <c r="B113" s="9" t="inlineStr">
        <is>
          <t>IdP identity</t>
        </is>
      </c>
      <c r="C113" s="9" t="inlineStr">
        <is>
          <t>Signing certificate</t>
        </is>
      </c>
      <c r="D113" s="10" t="inlineStr">
        <is>
          <t>DED99A458EB1C45D4A5DD8598A1665932E146399 (expires 2026-03-01)</t>
        </is>
      </c>
      <c r="E113" s="10" t="inlineStr">
        <is>
          <t>Signature Policy &gt; Signing Certificate</t>
        </is>
      </c>
      <c r="F113" s="10" t="inlineStr">
        <is>
          <t>PingFederate signing key (new)</t>
        </is>
      </c>
      <c r="G113" s="9" t="inlineStr">
        <is>
          <t>SP_UPDATE</t>
        </is>
      </c>
      <c r="H113" s="10" t="inlineStr">
        <is>
          <t>Okta does not export private keys - SP must trust the new certificate</t>
        </is>
      </c>
    </row>
    <row r="114">
      <c r="A114" s="9" t="inlineStr">
        <is>
          <t>Legacy Travel Booking</t>
        </is>
      </c>
      <c r="B114" s="9" t="inlineStr">
        <is>
          <t>Assertion</t>
        </is>
      </c>
      <c r="C114" s="9" t="inlineStr">
        <is>
          <t>NameID format</t>
        </is>
      </c>
      <c r="D114" s="10" t="inlineStr">
        <is>
          <t>urn:oasis:names:tc:SAML:2.0:nameid-format:persistent</t>
        </is>
      </c>
      <c r="E114" s="10" t="inlineStr">
        <is>
          <t>Attribute Contract &gt; SAML_SUBJECT format</t>
        </is>
      </c>
      <c r="F114" s="10" t="inlineStr">
        <is>
          <t>urn:oasis:names:tc:SAML:2.0:nameid-format:persistent</t>
        </is>
      </c>
      <c r="G114" s="9" t="inlineStr">
        <is>
          <t>SAME</t>
        </is>
      </c>
      <c r="H114" s="10" t="inlineStr">
        <is>
          <t>'</t>
        </is>
      </c>
    </row>
    <row r="115">
      <c r="A115" s="9" t="inlineStr">
        <is>
          <t>Legacy Travel Booking</t>
        </is>
      </c>
      <c r="B115" s="9" t="inlineStr">
        <is>
          <t>Assertion</t>
        </is>
      </c>
      <c r="C115" s="9" t="inlineStr">
        <is>
          <t>NameID value</t>
        </is>
      </c>
      <c r="D115" s="10" t="inlineStr">
        <is>
          <t>${user.id}</t>
        </is>
      </c>
      <c r="E115" s="10" t="inlineStr">
        <is>
          <t>Contract Fulfillment &gt; SAML_SUBJECT</t>
        </is>
      </c>
      <c r="F115" s="10" t="inlineStr">
        <is>
          <t>Okta user id: not present in any directory</t>
        </is>
      </c>
      <c r="G115" s="9" t="inlineStr">
        <is>
          <t>ACTION</t>
        </is>
      </c>
      <c r="H115" s="10" t="inlineStr">
        <is>
          <t>'</t>
        </is>
      </c>
    </row>
    <row r="116">
      <c r="A116" s="9" t="inlineStr">
        <is>
          <t>Legacy Travel Booking</t>
        </is>
      </c>
      <c r="B116" s="9" t="inlineStr">
        <is>
          <t>Assertion</t>
        </is>
      </c>
      <c r="C116" s="9" t="inlineStr">
        <is>
          <t>Signing</t>
        </is>
      </c>
      <c r="D116" s="10" t="inlineStr">
        <is>
          <t>response + assertion</t>
        </is>
      </c>
      <c r="E116" s="10" t="inlineStr">
        <is>
          <t>Signature Policy</t>
        </is>
      </c>
      <c r="F116" s="10" t="inlineStr">
        <is>
          <t>Sign response + 'Always sign the SAML assertion'</t>
        </is>
      </c>
      <c r="G116" s="9" t="inlineStr">
        <is>
          <t>CONFIGURE</t>
        </is>
      </c>
      <c r="H116" s="10" t="inlineStr">
        <is>
          <t>'</t>
        </is>
      </c>
    </row>
    <row r="117">
      <c r="A117" s="9" t="inlineStr">
        <is>
          <t>Legacy Travel Booking</t>
        </is>
      </c>
      <c r="B117" s="9" t="inlineStr">
        <is>
          <t>Assertion</t>
        </is>
      </c>
      <c r="C117" s="9" t="inlineStr">
        <is>
          <t>Signature algorithm</t>
        </is>
      </c>
      <c r="D117" s="10" t="inlineStr">
        <is>
          <t>RSA_SHA1</t>
        </is>
      </c>
      <c r="E117" s="10" t="inlineStr">
        <is>
          <t>Signature Policy &gt; Signing Algorithm</t>
        </is>
      </c>
      <c r="F117" s="10" t="inlineStr">
        <is>
          <t>RSA SHA1 (plan SHA256)</t>
        </is>
      </c>
      <c r="G117" s="9" t="inlineStr">
        <is>
          <t>ACTION</t>
        </is>
      </c>
      <c r="H117" s="10" t="inlineStr">
        <is>
          <t>'</t>
        </is>
      </c>
    </row>
    <row r="118">
      <c r="A118" s="9" t="inlineStr">
        <is>
          <t>Legacy Travel Booking</t>
        </is>
      </c>
      <c r="B118" s="9" t="inlineStr">
        <is>
          <t>Assertion</t>
        </is>
      </c>
      <c r="C118" s="9" t="inlineStr">
        <is>
          <t>AuthnContextClassRef</t>
        </is>
      </c>
      <c r="D118" s="10" t="inlineStr">
        <is>
          <t>urn:oasis:names:tc:SAML:2.0:ac:classes:PasswordProtectedTransport</t>
        </is>
      </c>
      <c r="E118" s="10" t="inlineStr">
        <is>
          <t>Authentication policy / adapter mapping</t>
        </is>
      </c>
      <c r="F118" s="10" t="inlineStr">
        <is>
          <t>urn:oasis:names:tc:SAML:2.0:ac:classes:PasswordProtectedTransport</t>
        </is>
      </c>
      <c r="G118" s="9" t="inlineStr">
        <is>
          <t>SAME</t>
        </is>
      </c>
      <c r="H118" s="10" t="inlineStr">
        <is>
          <t>'</t>
        </is>
      </c>
    </row>
    <row r="119">
      <c r="A119" s="9" t="inlineStr">
        <is>
          <t>Legacy Travel Booking</t>
        </is>
      </c>
      <c r="B119" s="9" t="inlineStr">
        <is>
          <t>Assertion</t>
        </is>
      </c>
      <c r="C119" s="9" t="inlineStr">
        <is>
          <t>Assertion lifetime</t>
        </is>
      </c>
      <c r="D119" s="10" t="inlineStr">
        <is>
          <t>300 s</t>
        </is>
      </c>
      <c r="E119" s="10" t="inlineStr">
        <is>
          <t>Protocol Settings &gt; Assertion Lifetime (minutes before / after)</t>
        </is>
      </c>
      <c r="F119" s="10" t="inlineStr">
        <is>
          <t>5 / 5</t>
        </is>
      </c>
      <c r="G119" s="9" t="inlineStr">
        <is>
          <t>SAME</t>
        </is>
      </c>
      <c r="H119" s="10" t="inlineStr">
        <is>
          <t>'</t>
        </is>
      </c>
    </row>
    <row r="120">
      <c r="A120" s="9" t="inlineStr">
        <is>
          <t>Legacy Travel Booking</t>
        </is>
      </c>
      <c r="B120" s="9" t="inlineStr">
        <is>
          <t>Assertion</t>
        </is>
      </c>
      <c r="C120" s="9" t="inlineStr">
        <is>
          <t>App username</t>
        </is>
      </c>
      <c r="D120" s="10" t="inlineStr">
        <is>
          <t>${source.login}</t>
        </is>
      </c>
      <c r="E120" s="10" t="inlineStr">
        <is>
          <t>Used via SAML_SUBJECT / attributes</t>
        </is>
      </c>
      <c r="F120" s="10" t="inlineStr">
        <is>
          <t>Directory attribute</t>
        </is>
      </c>
      <c r="G120" s="9" t="inlineStr">
        <is>
          <t>SAME</t>
        </is>
      </c>
      <c r="H120" s="10" t="inlineStr">
        <is>
          <t>'</t>
        </is>
      </c>
    </row>
    <row r="121">
      <c r="A121" s="9" t="inlineStr">
        <is>
          <t>Legacy Travel Booking</t>
        </is>
      </c>
      <c r="B121" s="9" t="inlineStr">
        <is>
          <t>Attributes</t>
        </is>
      </c>
      <c r="C121" s="9" t="inlineStr">
        <is>
          <t>mail</t>
        </is>
      </c>
      <c r="D121" s="10" t="inlineStr">
        <is>
          <t>user.email</t>
        </is>
      </c>
      <c r="E121" s="10" t="inlineStr">
        <is>
          <t>Attribute Contract 'mail' &lt;- DATA_STORE</t>
        </is>
      </c>
      <c r="F121" s="10" t="inlineStr">
        <is>
          <t>LDAP: mail</t>
        </is>
      </c>
      <c r="G121" s="9" t="inlineStr">
        <is>
          <t>SAME</t>
        </is>
      </c>
      <c r="H121" s="10" t="inlineStr">
        <is>
          <t>'</t>
        </is>
      </c>
    </row>
    <row r="122">
      <c r="A122" s="9" t="inlineStr">
        <is>
          <t>Legacy Travel Booking</t>
        </is>
      </c>
      <c r="B122" s="9" t="inlineStr">
        <is>
          <t>Access control</t>
        </is>
      </c>
      <c r="C122" s="9" t="inlineStr">
        <is>
          <t>Assigned groups</t>
        </is>
      </c>
      <c r="D122" s="10" t="inlineStr">
        <is>
          <t>—</t>
        </is>
      </c>
      <c r="E122" s="10" t="inlineStr">
        <is>
          <t>Issuance Criteria</t>
        </is>
      </c>
      <c r="F122" s="10" t="inlineStr">
        <is>
          <t>—</t>
        </is>
      </c>
      <c r="G122" s="9" t="inlineStr">
        <is>
          <t>N/A</t>
        </is>
      </c>
      <c r="H122" s="10" t="inlineStr">
        <is>
          <t>'</t>
        </is>
      </c>
    </row>
    <row r="123">
      <c r="A123" s="9" t="inlineStr">
        <is>
          <t>Salesforce</t>
        </is>
      </c>
      <c r="B123" s="9" t="inlineStr">
        <is>
          <t>SP connection</t>
        </is>
      </c>
      <c r="C123" s="9" t="inlineStr">
        <is>
          <t>Connection name</t>
        </is>
      </c>
      <c r="D123" s="10" t="inlineStr">
        <is>
          <t>Salesforce</t>
        </is>
      </c>
      <c r="E123" s="10" t="inlineStr">
        <is>
          <t>SP Connection &gt; General Info &gt; Connection Name</t>
        </is>
      </c>
      <c r="F123" s="10" t="inlineStr">
        <is>
          <t>Salesforce</t>
        </is>
      </c>
      <c r="G123" s="9" t="inlineStr">
        <is>
          <t>CONFIGURE</t>
        </is>
      </c>
      <c r="H123" s="10" t="inlineStr">
        <is>
          <t>'</t>
        </is>
      </c>
    </row>
    <row r="124">
      <c r="A124" s="9" t="inlineStr">
        <is>
          <t>Salesforce</t>
        </is>
      </c>
      <c r="B124" s="9" t="inlineStr">
        <is>
          <t>SP connection</t>
        </is>
      </c>
      <c r="C124" s="9" t="inlineStr">
        <is>
          <t>SP entity ID</t>
        </is>
      </c>
      <c r="D124" s="10" t="inlineStr">
        <is>
          <t>Not exposed (catalog app)</t>
        </is>
      </c>
      <c r="E124" s="10" t="inlineStr">
        <is>
          <t>Partner's Entity ID (Connection ID)</t>
        </is>
      </c>
      <c r="F124" s="10" t="inlineStr">
        <is>
          <t>From vendor SP metadata</t>
        </is>
      </c>
      <c r="G124" s="9" t="inlineStr">
        <is>
          <t>UNKNOWN</t>
        </is>
      </c>
      <c r="H124" s="10" t="inlineStr">
        <is>
          <t>Import the SP metadata to fill this in</t>
        </is>
      </c>
    </row>
    <row r="125">
      <c r="A125" s="9" t="inlineStr">
        <is>
          <t>Salesforce</t>
        </is>
      </c>
      <c r="B125" s="9" t="inlineStr">
        <is>
          <t>SP connection</t>
        </is>
      </c>
      <c r="C125" s="9" t="inlineStr">
        <is>
          <t>Okta app status</t>
        </is>
      </c>
      <c r="D125" s="10" t="inlineStr">
        <is>
          <t>ACTIVE</t>
        </is>
      </c>
      <c r="E125" s="10" t="inlineStr">
        <is>
          <t>Connection status</t>
        </is>
      </c>
      <c r="F125" s="10" t="inlineStr">
        <is>
          <t>Active</t>
        </is>
      </c>
      <c r="G125" s="9" t="inlineStr">
        <is>
          <t>SAME</t>
        </is>
      </c>
      <c r="H125" s="10" t="inlineStr">
        <is>
          <t>'</t>
        </is>
      </c>
    </row>
    <row r="126">
      <c r="A126" s="9" t="inlineStr">
        <is>
          <t>Salesforce</t>
        </is>
      </c>
      <c r="B126" s="9" t="inlineStr">
        <is>
          <t>SP connection</t>
        </is>
      </c>
      <c r="C126" s="9" t="inlineStr">
        <is>
          <t>ACS URL</t>
        </is>
      </c>
      <c r="D126" s="10" t="inlineStr">
        <is>
          <t>Not exposed (catalog app)</t>
        </is>
      </c>
      <c r="E126" s="10" t="inlineStr">
        <is>
          <t>Protocol Settings &gt; Assertion Consumer Service URL</t>
        </is>
      </c>
      <c r="F126" s="10" t="inlineStr">
        <is>
          <t>From vendor SP metadata</t>
        </is>
      </c>
      <c r="G126" s="9" t="inlineStr">
        <is>
          <t>UNKNOWN</t>
        </is>
      </c>
      <c r="H126" s="10" t="inlineStr">
        <is>
          <t>'</t>
        </is>
      </c>
    </row>
    <row r="127">
      <c r="A127" s="9" t="inlineStr">
        <is>
          <t>Salesforce</t>
        </is>
      </c>
      <c r="B127" s="9" t="inlineStr">
        <is>
          <t>SP connection</t>
        </is>
      </c>
      <c r="C127" s="9" t="inlineStr">
        <is>
          <t>Default RelayState</t>
        </is>
      </c>
      <c r="D127" s="10" t="inlineStr">
        <is>
          <t>—</t>
        </is>
      </c>
      <c r="E127" s="10" t="inlineStr">
        <is>
          <t>IdP-initiated SSO TargetResource</t>
        </is>
      </c>
      <c r="F127" s="10" t="inlineStr">
        <is>
          <t>—</t>
        </is>
      </c>
      <c r="G127" s="9" t="inlineStr">
        <is>
          <t>N/A</t>
        </is>
      </c>
      <c r="H127" s="10" t="inlineStr">
        <is>
          <t>'</t>
        </is>
      </c>
    </row>
    <row r="128">
      <c r="A128" s="9" t="inlineStr">
        <is>
          <t>Salesforce</t>
        </is>
      </c>
      <c r="B128" s="9" t="inlineStr">
        <is>
          <t>SP connection</t>
        </is>
      </c>
      <c r="C128" s="9" t="inlineStr">
        <is>
          <t>Single logout</t>
        </is>
      </c>
      <c r="D128" s="10" t="inlineStr">
        <is>
          <t>No</t>
        </is>
      </c>
      <c r="E128" s="10" t="inlineStr">
        <is>
          <t>Protocol Settings &gt; SLO Service URL</t>
        </is>
      </c>
      <c r="F128" s="10" t="inlineStr">
        <is>
          <t>—</t>
        </is>
      </c>
      <c r="G128" s="9" t="inlineStr">
        <is>
          <t>N/A</t>
        </is>
      </c>
      <c r="H128" s="10" t="inlineStr">
        <is>
          <t>'</t>
        </is>
      </c>
    </row>
    <row r="129">
      <c r="A129" s="9" t="inlineStr">
        <is>
          <t>Salesforce</t>
        </is>
      </c>
      <c r="B129" s="9" t="inlineStr">
        <is>
          <t>SP connection</t>
        </is>
      </c>
      <c r="C129" s="9" t="inlineStr">
        <is>
          <t>Signed AuthnRequests</t>
        </is>
      </c>
      <c r="D129" s="10" t="inlineStr">
        <is>
          <t>No</t>
        </is>
      </c>
      <c r="E129" s="10" t="inlineStr">
        <is>
          <t>Signature Verification &gt; require signed AuthnRequests + SP certificate</t>
        </is>
      </c>
      <c r="F129" s="10" t="inlineStr">
        <is>
          <t>Not required</t>
        </is>
      </c>
      <c r="G129" s="9" t="inlineStr">
        <is>
          <t>N/A</t>
        </is>
      </c>
      <c r="H129" s="10" t="inlineStr">
        <is>
          <t>'</t>
        </is>
      </c>
    </row>
    <row r="130">
      <c r="A130" s="9" t="inlineStr">
        <is>
          <t>Salesforce</t>
        </is>
      </c>
      <c r="B130" s="9" t="inlineStr">
        <is>
          <t>IdP identity</t>
        </is>
      </c>
      <c r="C130" s="9" t="inlineStr">
        <is>
          <t>IdP entity ID (Issuer)</t>
        </is>
      </c>
      <c r="D130" s="10" t="inlineStr">
        <is>
          <t>http://www.okta.com/exk5salesforce00005</t>
        </is>
      </c>
      <c r="E130" s="10" t="inlineStr">
        <is>
          <t>Server Settings &gt; SAML 2.0 Entity ID</t>
        </is>
      </c>
      <c r="F130" s="10" t="inlineStr">
        <is>
          <t>https://sso.example.com</t>
        </is>
      </c>
      <c r="G130" s="9" t="inlineStr">
        <is>
          <t>SP_UPDATE</t>
        </is>
      </c>
      <c r="H130" s="10" t="inlineStr">
        <is>
          <t>SP must trust the new issuer</t>
        </is>
      </c>
    </row>
    <row r="131">
      <c r="A131" s="9" t="inlineStr">
        <is>
          <t>Salesforce</t>
        </is>
      </c>
      <c r="B131" s="9" t="inlineStr">
        <is>
          <t>IdP identity</t>
        </is>
      </c>
      <c r="C131" s="9" t="inlineStr">
        <is>
          <t>SSO URL</t>
        </is>
      </c>
      <c r="D131" s="10" t="inlineStr">
        <is>
          <t>https://northwind.okta.com/app/salesforce/exk5salesforce00005/sso/saml</t>
        </is>
      </c>
      <c r="E131" s="10" t="inlineStr">
        <is>
          <t>Runtime SSO endpoint</t>
        </is>
      </c>
      <c r="F131" s="10" t="inlineStr">
        <is>
          <t>https://sso.example.com/idp/SSO.saml2</t>
        </is>
      </c>
      <c r="G131" s="9" t="inlineStr">
        <is>
          <t>SP_UPDATE</t>
        </is>
      </c>
      <c r="H131" s="10" t="inlineStr">
        <is>
          <t>'</t>
        </is>
      </c>
    </row>
    <row r="132">
      <c r="A132" s="9" t="inlineStr">
        <is>
          <t>Salesforce</t>
        </is>
      </c>
      <c r="B132" s="9" t="inlineStr">
        <is>
          <t>IdP identity</t>
        </is>
      </c>
      <c r="C132" s="9" t="inlineStr">
        <is>
          <t>Signing certificate</t>
        </is>
      </c>
      <c r="D132" s="10" t="inlineStr">
        <is>
          <t>38F45087D6987CED4F0B18DBDA88DF8FD760F8E7 (expires 2028-08-01)</t>
        </is>
      </c>
      <c r="E132" s="10" t="inlineStr">
        <is>
          <t>Signature Policy &gt; Signing Certificate</t>
        </is>
      </c>
      <c r="F132" s="10" t="inlineStr">
        <is>
          <t>PingFederate signing key (new)</t>
        </is>
      </c>
      <c r="G132" s="9" t="inlineStr">
        <is>
          <t>SP_UPDATE</t>
        </is>
      </c>
      <c r="H132" s="10" t="inlineStr">
        <is>
          <t>Okta does not export private keys - SP must trust the new certificate</t>
        </is>
      </c>
    </row>
    <row r="133">
      <c r="A133" s="9" t="inlineStr">
        <is>
          <t>Salesforce</t>
        </is>
      </c>
      <c r="B133" s="9" t="inlineStr">
        <is>
          <t>Assertion</t>
        </is>
      </c>
      <c r="C133" s="9" t="inlineStr">
        <is>
          <t>NameID format</t>
        </is>
      </c>
      <c r="D133" s="10" t="inlineStr">
        <is>
          <t>—</t>
        </is>
      </c>
      <c r="E133" s="10" t="inlineStr">
        <is>
          <t>Attribute Contract &gt; SAML_SUBJECT format</t>
        </is>
      </c>
      <c r="F133" s="10" t="inlineStr">
        <is>
          <t>—</t>
        </is>
      </c>
      <c r="G133" s="9" t="inlineStr">
        <is>
          <t>UNKNOWN</t>
        </is>
      </c>
      <c r="H133" s="10" t="inlineStr">
        <is>
          <t>'</t>
        </is>
      </c>
    </row>
    <row r="134">
      <c r="A134" s="9" t="inlineStr">
        <is>
          <t>Salesforce</t>
        </is>
      </c>
      <c r="B134" s="9" t="inlineStr">
        <is>
          <t>Assertion</t>
        </is>
      </c>
      <c r="C134" s="9" t="inlineStr">
        <is>
          <t>NameID value</t>
        </is>
      </c>
      <c r="D134" s="10" t="inlineStr">
        <is>
          <t>—</t>
        </is>
      </c>
      <c r="E134" s="10" t="inlineStr">
        <is>
          <t>Contract Fulfillment &gt; SAML_SUBJECT</t>
        </is>
      </c>
      <c r="F134" s="10" t="inlineStr">
        <is>
          <t>No NameID template visible (catalog app)</t>
        </is>
      </c>
      <c r="G134" s="9" t="inlineStr">
        <is>
          <t>UNKNOWN</t>
        </is>
      </c>
      <c r="H134" s="10" t="inlineStr">
        <is>
          <t>'</t>
        </is>
      </c>
    </row>
    <row r="135">
      <c r="A135" s="9" t="inlineStr">
        <is>
          <t>Salesforce</t>
        </is>
      </c>
      <c r="B135" s="9" t="inlineStr">
        <is>
          <t>Assertion</t>
        </is>
      </c>
      <c r="C135" s="9" t="inlineStr">
        <is>
          <t>Signing</t>
        </is>
      </c>
      <c r="D135" s="10" t="inlineStr">
        <is>
          <t>—</t>
        </is>
      </c>
      <c r="E135" s="10" t="inlineStr">
        <is>
          <t>Signature Policy</t>
        </is>
      </c>
      <c r="F135" s="10" t="inlineStr">
        <is>
          <t>Sign response (default)</t>
        </is>
      </c>
      <c r="G135" s="9" t="inlineStr">
        <is>
          <t>SAME</t>
        </is>
      </c>
      <c r="H135" s="10" t="inlineStr">
        <is>
          <t>'</t>
        </is>
      </c>
    </row>
    <row r="136">
      <c r="A136" s="9" t="inlineStr">
        <is>
          <t>Salesforce</t>
        </is>
      </c>
      <c r="B136" s="9" t="inlineStr">
        <is>
          <t>Assertion</t>
        </is>
      </c>
      <c r="C136" s="9" t="inlineStr">
        <is>
          <t>Signature algorithm</t>
        </is>
      </c>
      <c r="D136" s="10" t="inlineStr">
        <is>
          <t>—</t>
        </is>
      </c>
      <c r="E136" s="10" t="inlineStr">
        <is>
          <t>Signature Policy &gt; Signing Algorithm</t>
        </is>
      </c>
      <c r="F136" s="10" t="inlineStr">
        <is>
          <t>RSA SHA256</t>
        </is>
      </c>
      <c r="G136" s="9" t="inlineStr">
        <is>
          <t>SAME</t>
        </is>
      </c>
      <c r="H136" s="10" t="inlineStr">
        <is>
          <t>'</t>
        </is>
      </c>
    </row>
    <row r="137">
      <c r="A137" s="9" t="inlineStr">
        <is>
          <t>Salesforce</t>
        </is>
      </c>
      <c r="B137" s="9" t="inlineStr">
        <is>
          <t>Assertion</t>
        </is>
      </c>
      <c r="C137" s="9" t="inlineStr">
        <is>
          <t>AuthnContextClassRef</t>
        </is>
      </c>
      <c r="D137" s="10" t="inlineStr">
        <is>
          <t>—</t>
        </is>
      </c>
      <c r="E137" s="10" t="inlineStr">
        <is>
          <t>Authentication policy / adapter mapping</t>
        </is>
      </c>
      <c r="F137" s="10" t="inlineStr">
        <is>
          <t>—</t>
        </is>
      </c>
      <c r="G137" s="9" t="inlineStr">
        <is>
          <t>SAME</t>
        </is>
      </c>
      <c r="H137" s="10" t="inlineStr">
        <is>
          <t>'</t>
        </is>
      </c>
    </row>
    <row r="138">
      <c r="A138" s="9" t="inlineStr">
        <is>
          <t>Salesforce</t>
        </is>
      </c>
      <c r="B138" s="9" t="inlineStr">
        <is>
          <t>Assertion</t>
        </is>
      </c>
      <c r="C138" s="9" t="inlineStr">
        <is>
          <t>App username</t>
        </is>
      </c>
      <c r="D138" s="10" t="inlineStr">
        <is>
          <t>${source.employeeNumber}@northwind.sfdc</t>
        </is>
      </c>
      <c r="E138" s="10" t="inlineStr">
        <is>
          <t>Used via SAML_SUBJECT / attributes</t>
        </is>
      </c>
      <c r="F138" s="10" t="inlineStr">
        <is>
          <t>Needs directory attribute or OGNL</t>
        </is>
      </c>
      <c r="G138" s="9" t="inlineStr">
        <is>
          <t>ACTION</t>
        </is>
      </c>
      <c r="H138" s="10" t="inlineStr">
        <is>
          <t>'</t>
        </is>
      </c>
    </row>
    <row r="139">
      <c r="A139" s="9" t="inlineStr">
        <is>
          <t>Salesforce</t>
        </is>
      </c>
      <c r="B139" s="9" t="inlineStr">
        <is>
          <t>Attributes</t>
        </is>
      </c>
      <c r="C139" s="9" t="inlineStr">
        <is>
          <t>Attribute statements</t>
        </is>
      </c>
      <c r="D139" s="10" t="inlineStr">
        <is>
          <t>Not exposed (catalog app)</t>
        </is>
      </c>
      <c r="E139" s="10" t="inlineStr">
        <is>
          <t>Attribute Contract</t>
        </is>
      </c>
      <c r="F139" s="10" t="inlineStr">
        <is>
          <t>From vendor documentation</t>
        </is>
      </c>
      <c r="G139" s="9" t="inlineStr">
        <is>
          <t>UNKNOWN</t>
        </is>
      </c>
      <c r="H139" s="10" t="inlineStr">
        <is>
          <t>'</t>
        </is>
      </c>
    </row>
    <row r="140">
      <c r="A140" s="9" t="inlineStr">
        <is>
          <t>Salesforce</t>
        </is>
      </c>
      <c r="B140" s="9" t="inlineStr">
        <is>
          <t>Access control</t>
        </is>
      </c>
      <c r="C140" s="9" t="inlineStr">
        <is>
          <t>Assigned groups</t>
        </is>
      </c>
      <c r="D140" s="10" t="inlineStr">
        <is>
          <t>Sales</t>
        </is>
      </c>
      <c r="E140" s="10" t="inlineStr">
        <is>
          <t>Issuance Criteria (memberOf)</t>
        </is>
      </c>
      <c r="F140" s="10" t="inlineStr">
        <is>
          <t>memberOf includes one of: Sales</t>
        </is>
      </c>
      <c r="G140" s="9" t="inlineStr">
        <is>
          <t>ACTION</t>
        </is>
      </c>
      <c r="H140" s="10" t="inlineStr">
        <is>
          <t>Without this, any authenticated user gets an assertion</t>
        </is>
      </c>
    </row>
    <row r="141">
      <c r="A141" s="9" t="inlineStr">
        <is>
          <t>Salesforce</t>
        </is>
      </c>
      <c r="B141" s="9" t="inlineStr">
        <is>
          <t>Access control</t>
        </is>
      </c>
      <c r="C141" s="9" t="inlineStr">
        <is>
          <t>Okta-only groups</t>
        </is>
      </c>
      <c r="D141" s="10" t="inlineStr">
        <is>
          <t>Sales</t>
        </is>
      </c>
      <c r="E141" s="10" t="inlineStr">
        <is>
          <t>Directory groups</t>
        </is>
      </c>
      <c r="F141" s="10" t="inlineStr">
        <is>
          <t>Create and populate in the directory</t>
        </is>
      </c>
      <c r="G141" s="9" t="inlineStr">
        <is>
          <t>ACTION</t>
        </is>
      </c>
      <c r="H141" s="10" t="inlineStr">
        <is>
          <t>'</t>
        </is>
      </c>
    </row>
    <row r="142">
      <c r="A142" s="9" t="inlineStr">
        <is>
          <t>ServiceNow</t>
        </is>
      </c>
      <c r="B142" s="9" t="inlineStr">
        <is>
          <t>SP connection</t>
        </is>
      </c>
      <c r="C142" s="9" t="inlineStr">
        <is>
          <t>Connection name</t>
        </is>
      </c>
      <c r="D142" s="10" t="inlineStr">
        <is>
          <t>ServiceNow</t>
        </is>
      </c>
      <c r="E142" s="10" t="inlineStr">
        <is>
          <t>SP Connection &gt; General Info &gt; Connection Name</t>
        </is>
      </c>
      <c r="F142" s="10" t="inlineStr">
        <is>
          <t>ServiceNow</t>
        </is>
      </c>
      <c r="G142" s="9" t="inlineStr">
        <is>
          <t>CONFIGURE</t>
        </is>
      </c>
      <c r="H142" s="10" t="inlineStr">
        <is>
          <t>'</t>
        </is>
      </c>
    </row>
    <row r="143">
      <c r="A143" s="9" t="inlineStr">
        <is>
          <t>ServiceNow</t>
        </is>
      </c>
      <c r="B143" s="9" t="inlineStr">
        <is>
          <t>SP connection</t>
        </is>
      </c>
      <c r="C143" s="9" t="inlineStr">
        <is>
          <t>SP entity ID</t>
        </is>
      </c>
      <c r="D143" s="10" t="inlineStr">
        <is>
          <t>Not exposed (catalog app)</t>
        </is>
      </c>
      <c r="E143" s="10" t="inlineStr">
        <is>
          <t>Partner's Entity ID (Connection ID)</t>
        </is>
      </c>
      <c r="F143" s="10" t="inlineStr">
        <is>
          <t>From vendor SP metadata</t>
        </is>
      </c>
      <c r="G143" s="9" t="inlineStr">
        <is>
          <t>UNKNOWN</t>
        </is>
      </c>
      <c r="H143" s="10" t="inlineStr">
        <is>
          <t>Import the SP metadata to fill this in</t>
        </is>
      </c>
    </row>
    <row r="144">
      <c r="A144" s="9" t="inlineStr">
        <is>
          <t>ServiceNow</t>
        </is>
      </c>
      <c r="B144" s="9" t="inlineStr">
        <is>
          <t>SP connection</t>
        </is>
      </c>
      <c r="C144" s="9" t="inlineStr">
        <is>
          <t>Okta app status</t>
        </is>
      </c>
      <c r="D144" s="10" t="inlineStr">
        <is>
          <t>ACTIVE</t>
        </is>
      </c>
      <c r="E144" s="10" t="inlineStr">
        <is>
          <t>Connection status</t>
        </is>
      </c>
      <c r="F144" s="10" t="inlineStr">
        <is>
          <t>Active</t>
        </is>
      </c>
      <c r="G144" s="9" t="inlineStr">
        <is>
          <t>SAME</t>
        </is>
      </c>
      <c r="H144" s="10" t="inlineStr">
        <is>
          <t>'</t>
        </is>
      </c>
    </row>
    <row r="145">
      <c r="A145" s="9" t="inlineStr">
        <is>
          <t>ServiceNow</t>
        </is>
      </c>
      <c r="B145" s="9" t="inlineStr">
        <is>
          <t>SP connection</t>
        </is>
      </c>
      <c r="C145" s="9" t="inlineStr">
        <is>
          <t>ACS URL</t>
        </is>
      </c>
      <c r="D145" s="10" t="inlineStr">
        <is>
          <t>Not exposed (catalog app)</t>
        </is>
      </c>
      <c r="E145" s="10" t="inlineStr">
        <is>
          <t>Protocol Settings &gt; Assertion Consumer Service URL</t>
        </is>
      </c>
      <c r="F145" s="10" t="inlineStr">
        <is>
          <t>From vendor SP metadata</t>
        </is>
      </c>
      <c r="G145" s="9" t="inlineStr">
        <is>
          <t>UNKNOWN</t>
        </is>
      </c>
      <c r="H145" s="10" t="inlineStr">
        <is>
          <t>'</t>
        </is>
      </c>
    </row>
    <row r="146">
      <c r="A146" s="9" t="inlineStr">
        <is>
          <t>ServiceNow</t>
        </is>
      </c>
      <c r="B146" s="9" t="inlineStr">
        <is>
          <t>SP connection</t>
        </is>
      </c>
      <c r="C146" s="9" t="inlineStr">
        <is>
          <t>Default RelayState</t>
        </is>
      </c>
      <c r="D146" s="10" t="inlineStr">
        <is>
          <t>—</t>
        </is>
      </c>
      <c r="E146" s="10" t="inlineStr">
        <is>
          <t>IdP-initiated SSO TargetResource</t>
        </is>
      </c>
      <c r="F146" s="10" t="inlineStr">
        <is>
          <t>—</t>
        </is>
      </c>
      <c r="G146" s="9" t="inlineStr">
        <is>
          <t>N/A</t>
        </is>
      </c>
      <c r="H146" s="10" t="inlineStr">
        <is>
          <t>'</t>
        </is>
      </c>
    </row>
    <row r="147">
      <c r="A147" s="9" t="inlineStr">
        <is>
          <t>ServiceNow</t>
        </is>
      </c>
      <c r="B147" s="9" t="inlineStr">
        <is>
          <t>SP connection</t>
        </is>
      </c>
      <c r="C147" s="9" t="inlineStr">
        <is>
          <t>Single logout</t>
        </is>
      </c>
      <c r="D147" s="10" t="inlineStr">
        <is>
          <t>No</t>
        </is>
      </c>
      <c r="E147" s="10" t="inlineStr">
        <is>
          <t>Protocol Settings &gt; SLO Service URL</t>
        </is>
      </c>
      <c r="F147" s="10" t="inlineStr">
        <is>
          <t>—</t>
        </is>
      </c>
      <c r="G147" s="9" t="inlineStr">
        <is>
          <t>N/A</t>
        </is>
      </c>
      <c r="H147" s="10" t="inlineStr">
        <is>
          <t>'</t>
        </is>
      </c>
    </row>
    <row r="148">
      <c r="A148" s="9" t="inlineStr">
        <is>
          <t>ServiceNow</t>
        </is>
      </c>
      <c r="B148" s="9" t="inlineStr">
        <is>
          <t>SP connection</t>
        </is>
      </c>
      <c r="C148" s="9" t="inlineStr">
        <is>
          <t>Signed AuthnRequests</t>
        </is>
      </c>
      <c r="D148" s="10" t="inlineStr">
        <is>
          <t>No</t>
        </is>
      </c>
      <c r="E148" s="10" t="inlineStr">
        <is>
          <t>Signature Verification &gt; require signed AuthnRequests + SP certificate</t>
        </is>
      </c>
      <c r="F148" s="10" t="inlineStr">
        <is>
          <t>Not required</t>
        </is>
      </c>
      <c r="G148" s="9" t="inlineStr">
        <is>
          <t>N/A</t>
        </is>
      </c>
      <c r="H148" s="10" t="inlineStr">
        <is>
          <t>'</t>
        </is>
      </c>
    </row>
    <row r="149">
      <c r="A149" s="9" t="inlineStr">
        <is>
          <t>ServiceNow</t>
        </is>
      </c>
      <c r="B149" s="9" t="inlineStr">
        <is>
          <t>IdP identity</t>
        </is>
      </c>
      <c r="C149" s="9" t="inlineStr">
        <is>
          <t>IdP entity ID (Issuer)</t>
        </is>
      </c>
      <c r="D149" s="10" t="inlineStr">
        <is>
          <t>http://www.okta.com/exk4servicenow00004</t>
        </is>
      </c>
      <c r="E149" s="10" t="inlineStr">
        <is>
          <t>Server Settings &gt; SAML 2.0 Entity ID</t>
        </is>
      </c>
      <c r="F149" s="10" t="inlineStr">
        <is>
          <t>https://sso.example.com</t>
        </is>
      </c>
      <c r="G149" s="9" t="inlineStr">
        <is>
          <t>SP_UPDATE</t>
        </is>
      </c>
      <c r="H149" s="10" t="inlineStr">
        <is>
          <t>SP must trust the new issuer</t>
        </is>
      </c>
    </row>
    <row r="150">
      <c r="A150" s="9" t="inlineStr">
        <is>
          <t>ServiceNow</t>
        </is>
      </c>
      <c r="B150" s="9" t="inlineStr">
        <is>
          <t>IdP identity</t>
        </is>
      </c>
      <c r="C150" s="9" t="inlineStr">
        <is>
          <t>SSO URL</t>
        </is>
      </c>
      <c r="D150" s="10" t="inlineStr">
        <is>
          <t>https://northwind.okta.com/app/servicenow_ud/exk4servicenow00004/sso/saml</t>
        </is>
      </c>
      <c r="E150" s="10" t="inlineStr">
        <is>
          <t>Runtime SSO endpoint</t>
        </is>
      </c>
      <c r="F150" s="10" t="inlineStr">
        <is>
          <t>https://sso.example.com/idp/SSO.saml2</t>
        </is>
      </c>
      <c r="G150" s="9" t="inlineStr">
        <is>
          <t>SP_UPDATE</t>
        </is>
      </c>
      <c r="H150" s="10" t="inlineStr">
        <is>
          <t>'</t>
        </is>
      </c>
    </row>
    <row r="151">
      <c r="A151" s="9" t="inlineStr">
        <is>
          <t>ServiceNow</t>
        </is>
      </c>
      <c r="B151" s="9" t="inlineStr">
        <is>
          <t>IdP identity</t>
        </is>
      </c>
      <c r="C151" s="9" t="inlineStr">
        <is>
          <t>Signing certificate</t>
        </is>
      </c>
      <c r="D151" s="10" t="inlineStr">
        <is>
          <t>851CB8360434754B37888C97B31228B8EFF0C276 (expires 2028-03-01)</t>
        </is>
      </c>
      <c r="E151" s="10" t="inlineStr">
        <is>
          <t>Signature Policy &gt; Signing Certificate</t>
        </is>
      </c>
      <c r="F151" s="10" t="inlineStr">
        <is>
          <t>PingFederate signing key (new)</t>
        </is>
      </c>
      <c r="G151" s="9" t="inlineStr">
        <is>
          <t>SP_UPDATE</t>
        </is>
      </c>
      <c r="H151" s="10" t="inlineStr">
        <is>
          <t>Okta does not export private keys - SP must trust the new certificate</t>
        </is>
      </c>
    </row>
    <row r="152">
      <c r="A152" s="9" t="inlineStr">
        <is>
          <t>ServiceNow</t>
        </is>
      </c>
      <c r="B152" s="9" t="inlineStr">
        <is>
          <t>Assertion</t>
        </is>
      </c>
      <c r="C152" s="9" t="inlineStr">
        <is>
          <t>NameID format</t>
        </is>
      </c>
      <c r="D152" s="10" t="inlineStr">
        <is>
          <t>—</t>
        </is>
      </c>
      <c r="E152" s="10" t="inlineStr">
        <is>
          <t>Attribute Contract &gt; SAML_SUBJECT format</t>
        </is>
      </c>
      <c r="F152" s="10" t="inlineStr">
        <is>
          <t>—</t>
        </is>
      </c>
      <c r="G152" s="9" t="inlineStr">
        <is>
          <t>UNKNOWN</t>
        </is>
      </c>
      <c r="H152" s="10" t="inlineStr">
        <is>
          <t>'</t>
        </is>
      </c>
    </row>
    <row r="153">
      <c r="A153" s="9" t="inlineStr">
        <is>
          <t>ServiceNow</t>
        </is>
      </c>
      <c r="B153" s="9" t="inlineStr">
        <is>
          <t>Assertion</t>
        </is>
      </c>
      <c r="C153" s="9" t="inlineStr">
        <is>
          <t>NameID value</t>
        </is>
      </c>
      <c r="D153" s="10" t="inlineStr">
        <is>
          <t>—</t>
        </is>
      </c>
      <c r="E153" s="10" t="inlineStr">
        <is>
          <t>Contract Fulfillment &gt; SAML_SUBJECT</t>
        </is>
      </c>
      <c r="F153" s="10" t="inlineStr">
        <is>
          <t>No NameID template visible (catalog app)</t>
        </is>
      </c>
      <c r="G153" s="9" t="inlineStr">
        <is>
          <t>UNKNOWN</t>
        </is>
      </c>
      <c r="H153" s="10" t="inlineStr">
        <is>
          <t>'</t>
        </is>
      </c>
    </row>
    <row r="154">
      <c r="A154" s="9" t="inlineStr">
        <is>
          <t>ServiceNow</t>
        </is>
      </c>
      <c r="B154" s="9" t="inlineStr">
        <is>
          <t>Assertion</t>
        </is>
      </c>
      <c r="C154" s="9" t="inlineStr">
        <is>
          <t>Signing</t>
        </is>
      </c>
      <c r="D154" s="10" t="inlineStr">
        <is>
          <t>—</t>
        </is>
      </c>
      <c r="E154" s="10" t="inlineStr">
        <is>
          <t>Signature Policy</t>
        </is>
      </c>
      <c r="F154" s="10" t="inlineStr">
        <is>
          <t>Sign response (default)</t>
        </is>
      </c>
      <c r="G154" s="9" t="inlineStr">
        <is>
          <t>SAME</t>
        </is>
      </c>
      <c r="H154" s="10" t="inlineStr">
        <is>
          <t>'</t>
        </is>
      </c>
    </row>
    <row r="155">
      <c r="A155" s="9" t="inlineStr">
        <is>
          <t>ServiceNow</t>
        </is>
      </c>
      <c r="B155" s="9" t="inlineStr">
        <is>
          <t>Assertion</t>
        </is>
      </c>
      <c r="C155" s="9" t="inlineStr">
        <is>
          <t>Signature algorithm</t>
        </is>
      </c>
      <c r="D155" s="10" t="inlineStr">
        <is>
          <t>—</t>
        </is>
      </c>
      <c r="E155" s="10" t="inlineStr">
        <is>
          <t>Signature Policy &gt; Signing Algorithm</t>
        </is>
      </c>
      <c r="F155" s="10" t="inlineStr">
        <is>
          <t>RSA SHA256</t>
        </is>
      </c>
      <c r="G155" s="9" t="inlineStr">
        <is>
          <t>SAME</t>
        </is>
      </c>
      <c r="H155" s="10" t="inlineStr">
        <is>
          <t>'</t>
        </is>
      </c>
    </row>
    <row r="156">
      <c r="A156" s="9" t="inlineStr">
        <is>
          <t>ServiceNow</t>
        </is>
      </c>
      <c r="B156" s="9" t="inlineStr">
        <is>
          <t>Assertion</t>
        </is>
      </c>
      <c r="C156" s="9" t="inlineStr">
        <is>
          <t>AuthnContextClassRef</t>
        </is>
      </c>
      <c r="D156" s="10" t="inlineStr">
        <is>
          <t>—</t>
        </is>
      </c>
      <c r="E156" s="10" t="inlineStr">
        <is>
          <t>Authentication policy / adapter mapping</t>
        </is>
      </c>
      <c r="F156" s="10" t="inlineStr">
        <is>
          <t>—</t>
        </is>
      </c>
      <c r="G156" s="9" t="inlineStr">
        <is>
          <t>SAME</t>
        </is>
      </c>
      <c r="H156" s="10" t="inlineStr">
        <is>
          <t>'</t>
        </is>
      </c>
    </row>
    <row r="157">
      <c r="A157" s="9" t="inlineStr">
        <is>
          <t>ServiceNow</t>
        </is>
      </c>
      <c r="B157" s="9" t="inlineStr">
        <is>
          <t>Assertion</t>
        </is>
      </c>
      <c r="C157" s="9" t="inlineStr">
        <is>
          <t>App username</t>
        </is>
      </c>
      <c r="D157" s="10" t="inlineStr">
        <is>
          <t>${source.email}</t>
        </is>
      </c>
      <c r="E157" s="10" t="inlineStr">
        <is>
          <t>Used via SAML_SUBJECT / attributes</t>
        </is>
      </c>
      <c r="F157" s="10" t="inlineStr">
        <is>
          <t>Directory attribute</t>
        </is>
      </c>
      <c r="G157" s="9" t="inlineStr">
        <is>
          <t>SAME</t>
        </is>
      </c>
      <c r="H157" s="10" t="inlineStr">
        <is>
          <t>'</t>
        </is>
      </c>
    </row>
    <row r="158">
      <c r="A158" s="9" t="inlineStr">
        <is>
          <t>ServiceNow</t>
        </is>
      </c>
      <c r="B158" s="9" t="inlineStr">
        <is>
          <t>Attributes</t>
        </is>
      </c>
      <c r="C158" s="9" t="inlineStr">
        <is>
          <t>Attribute statements</t>
        </is>
      </c>
      <c r="D158" s="10" t="inlineStr">
        <is>
          <t>Not exposed (catalog app)</t>
        </is>
      </c>
      <c r="E158" s="10" t="inlineStr">
        <is>
          <t>Attribute Contract</t>
        </is>
      </c>
      <c r="F158" s="10" t="inlineStr">
        <is>
          <t>From vendor documentation</t>
        </is>
      </c>
      <c r="G158" s="9" t="inlineStr">
        <is>
          <t>UNKNOWN</t>
        </is>
      </c>
      <c r="H158" s="10" t="inlineStr">
        <is>
          <t>'</t>
        </is>
      </c>
    </row>
    <row r="159">
      <c r="A159" s="9" t="inlineStr">
        <is>
          <t>ServiceNow</t>
        </is>
      </c>
      <c r="B159" s="9" t="inlineStr">
        <is>
          <t>Access control</t>
        </is>
      </c>
      <c r="C159" s="9" t="inlineStr">
        <is>
          <t>Assigned groups</t>
        </is>
      </c>
      <c r="D159" s="10" t="inlineStr">
        <is>
          <t>SN-ITIL, SN-Approvers</t>
        </is>
      </c>
      <c r="E159" s="10" t="inlineStr">
        <is>
          <t>Issuance Criteria (memberOf)</t>
        </is>
      </c>
      <c r="F159" s="10" t="inlineStr">
        <is>
          <t>memberOf includes one of: SN-ITIL, SN-Approvers</t>
        </is>
      </c>
      <c r="G159" s="9" t="inlineStr">
        <is>
          <t>ACTION</t>
        </is>
      </c>
      <c r="H159" s="10" t="inlineStr">
        <is>
          <t>Without this, any authenticated user gets an assertion</t>
        </is>
      </c>
    </row>
    <row r="160">
      <c r="A160" s="9" t="inlineStr">
        <is>
          <t>ServiceNow</t>
        </is>
      </c>
      <c r="B160" s="9" t="inlineStr">
        <is>
          <t>Access control</t>
        </is>
      </c>
      <c r="C160" s="9" t="inlineStr">
        <is>
          <t>Okta-only groups</t>
        </is>
      </c>
      <c r="D160" s="10" t="inlineStr">
        <is>
          <t>SN-ITIL, SN-Approvers</t>
        </is>
      </c>
      <c r="E160" s="10" t="inlineStr">
        <is>
          <t>Directory groups</t>
        </is>
      </c>
      <c r="F160" s="10" t="inlineStr">
        <is>
          <t>Create and populate in the directory</t>
        </is>
      </c>
      <c r="G160" s="9" t="inlineStr">
        <is>
          <t>ACTION</t>
        </is>
      </c>
      <c r="H160" s="10" t="inlineStr">
        <is>
          <t>'</t>
        </is>
      </c>
    </row>
  </sheetData>
  <autoFilter ref="A1:H160"/>
  <conditionalFormatting sqref="G2:G160">
    <cfRule type="expression" priority="1" dxfId="2">
      <formula>$G2="ACTION"</formula>
    </cfRule>
    <cfRule type="expression" priority="2" dxfId="1">
      <formula>$G2="UNKNOWN"</formula>
    </cfRule>
    <cfRule type="expression" priority="3" dxfId="4">
      <formula>$G2="SP_UPDATE"</formula>
    </cfRule>
    <cfRule type="expression" priority="4" dxfId="5">
      <formula>$G2="CONFIGURE"</formula>
    </cfRule>
    <cfRule type="expression" priority="5" dxfId="0">
      <formula>$G2="SAME"</formula>
    </cfRule>
    <cfRule type="expression" priority="6" dxfId="6">
      <formula>$G2="N/A"</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2"/>
  <sheetViews>
    <sheetView showGridLines="1" workbookViewId="0">
      <pane ySplit="1" topLeftCell="A2" activePane="bottomLeft" state="frozen"/>
      <selection pane="bottomLeft" activeCell="A1" sqref="A1"/>
    </sheetView>
  </sheetViews>
  <sheetFormatPr baseColWidth="8" defaultRowHeight="15"/>
  <cols>
    <col width="28" customWidth="1" min="1" max="1"/>
    <col width="18" customWidth="1" min="2" max="2"/>
    <col width="26" customWidth="1" min="3" max="3"/>
    <col width="44" customWidth="1" min="4" max="4"/>
    <col width="40" customWidth="1" min="5" max="5"/>
    <col width="44" customWidth="1" min="6" max="6"/>
    <col width="12" customWidth="1" min="7" max="7"/>
    <col width="40" customWidth="1" min="8" max="8"/>
  </cols>
  <sheetData>
    <row r="1" ht="30" customHeight="1">
      <c r="A1" s="8" t="inlineStr">
        <is>
          <t>Application</t>
        </is>
      </c>
      <c r="B1" s="8" t="inlineStr">
        <is>
          <t>Section</t>
        </is>
      </c>
      <c r="C1" s="8" t="inlineStr">
        <is>
          <t>Field</t>
        </is>
      </c>
      <c r="D1" s="8" t="inlineStr">
        <is>
          <t>Okta value</t>
        </is>
      </c>
      <c r="E1" s="8" t="inlineStr">
        <is>
          <t>PingFederate setting</t>
        </is>
      </c>
      <c r="F1" s="8" t="inlineStr">
        <is>
          <t>PingFederate value</t>
        </is>
      </c>
      <c r="G1" s="8" t="inlineStr">
        <is>
          <t>Status</t>
        </is>
      </c>
      <c r="H1" s="8" t="inlineStr">
        <is>
          <t>Note</t>
        </is>
      </c>
    </row>
    <row r="2">
      <c r="A2" s="9" t="inlineStr">
        <is>
          <t>Employee Portal</t>
        </is>
      </c>
      <c r="B2" s="9" t="inlineStr">
        <is>
          <t>OAuth client</t>
        </is>
      </c>
      <c r="C2" s="9" t="inlineStr">
        <is>
          <t>Client name</t>
        </is>
      </c>
      <c r="D2" s="10" t="inlineStr">
        <is>
          <t>Employee Portal</t>
        </is>
      </c>
      <c r="E2" s="10" t="inlineStr">
        <is>
          <t>OAuth Client &gt; Name</t>
        </is>
      </c>
      <c r="F2" s="10" t="inlineStr">
        <is>
          <t>Employee Portal</t>
        </is>
      </c>
      <c r="G2" s="9" t="inlineStr">
        <is>
          <t>CONFIGURE</t>
        </is>
      </c>
      <c r="H2" s="10" t="inlineStr">
        <is>
          <t>'</t>
        </is>
      </c>
    </row>
    <row r="3">
      <c r="A3" s="9" t="inlineStr">
        <is>
          <t>Employee Portal</t>
        </is>
      </c>
      <c r="B3" s="9" t="inlineStr">
        <is>
          <t>OAuth client</t>
        </is>
      </c>
      <c r="C3" s="9" t="inlineStr">
        <is>
          <t>Client ID</t>
        </is>
      </c>
      <c r="D3" s="10" t="inlineStr">
        <is>
          <t>0oa7EmpPortalClient01</t>
        </is>
      </c>
      <c r="E3" s="10" t="inlineStr">
        <is>
          <t>OAuth Client &gt; Client ID</t>
        </is>
      </c>
      <c r="F3" s="10" t="inlineStr">
        <is>
          <t>0oa7EmpPortalClient01</t>
        </is>
      </c>
      <c r="G3" s="9" t="inlineStr">
        <is>
          <t>SAME</t>
        </is>
      </c>
      <c r="H3" s="10" t="inlineStr">
        <is>
          <t>PingFederate lets you keep the same client ID, so the app config for it does not change</t>
        </is>
      </c>
    </row>
    <row r="4">
      <c r="A4" s="9" t="inlineStr">
        <is>
          <t>Employee Portal</t>
        </is>
      </c>
      <c r="B4" s="9" t="inlineStr">
        <is>
          <t>OAuth client</t>
        </is>
      </c>
      <c r="C4" s="9" t="inlineStr">
        <is>
          <t>Application type</t>
        </is>
      </c>
      <c r="D4" s="10" t="inlineStr">
        <is>
          <t>web</t>
        </is>
      </c>
      <c r="E4" s="10" t="inlineStr">
        <is>
          <t>Client type (derived)</t>
        </is>
      </c>
      <c r="F4" s="10" t="inlineStr">
        <is>
          <t>Confidential client (web app)</t>
        </is>
      </c>
      <c r="G4" s="9" t="inlineStr">
        <is>
          <t>CONFIGURE</t>
        </is>
      </c>
      <c r="H4" s="10" t="inlineStr">
        <is>
          <t>'</t>
        </is>
      </c>
    </row>
    <row r="5">
      <c r="A5" s="9" t="inlineStr">
        <is>
          <t>Employee Portal</t>
        </is>
      </c>
      <c r="B5" s="9" t="inlineStr">
        <is>
          <t>OAuth client</t>
        </is>
      </c>
      <c r="C5" s="9" t="inlineStr">
        <is>
          <t>Client authentication</t>
        </is>
      </c>
      <c r="D5" s="10" t="inlineStr">
        <is>
          <t>client_secret_basic</t>
        </is>
      </c>
      <c r="E5" s="10" t="inlineStr">
        <is>
          <t>Client Authentication</t>
        </is>
      </c>
      <c r="F5" s="10" t="inlineStr">
        <is>
          <t>Client Secret (HTTP Basic) - new secret</t>
        </is>
      </c>
      <c r="G5" s="9" t="inlineStr">
        <is>
          <t>ACTION</t>
        </is>
      </c>
      <c r="H5" s="10" t="inlineStr">
        <is>
          <t>Okta does not return existing secrets; issue a new one and update the app</t>
        </is>
      </c>
    </row>
    <row r="6">
      <c r="A6" s="9" t="inlineStr">
        <is>
          <t>Employee Portal</t>
        </is>
      </c>
      <c r="B6" s="9" t="inlineStr">
        <is>
          <t>OAuth client</t>
        </is>
      </c>
      <c r="C6" s="9" t="inlineStr">
        <is>
          <t>Okta app status</t>
        </is>
      </c>
      <c r="D6" s="10" t="inlineStr">
        <is>
          <t>ACTIVE</t>
        </is>
      </c>
      <c r="E6" s="10" t="inlineStr">
        <is>
          <t>Client status</t>
        </is>
      </c>
      <c r="F6" s="10" t="inlineStr">
        <is>
          <t>Enabled</t>
        </is>
      </c>
      <c r="G6" s="9" t="inlineStr">
        <is>
          <t>SAME</t>
        </is>
      </c>
      <c r="H6" s="10" t="inlineStr">
        <is>
          <t>'</t>
        </is>
      </c>
    </row>
    <row r="7">
      <c r="A7" s="9" t="inlineStr">
        <is>
          <t>Employee Portal</t>
        </is>
      </c>
      <c r="B7" s="9" t="inlineStr">
        <is>
          <t>OAuth client</t>
        </is>
      </c>
      <c r="C7" s="9" t="inlineStr">
        <is>
          <t>Consent</t>
        </is>
      </c>
      <c r="D7" s="10" t="inlineStr">
        <is>
          <t>TRUSTED</t>
        </is>
      </c>
      <c r="E7" s="10" t="inlineStr">
        <is>
          <t>Bypass Authorization Approval</t>
        </is>
      </c>
      <c r="F7" s="10" t="inlineStr">
        <is>
          <t>Bypass (trusted)</t>
        </is>
      </c>
      <c r="G7" s="9" t="inlineStr">
        <is>
          <t>SAME</t>
        </is>
      </c>
      <c r="H7" s="10" t="inlineStr">
        <is>
          <t>'</t>
        </is>
      </c>
    </row>
    <row r="8">
      <c r="A8" s="9" t="inlineStr">
        <is>
          <t>Employee Portal</t>
        </is>
      </c>
      <c r="B8" s="9" t="inlineStr">
        <is>
          <t>Redirects</t>
        </is>
      </c>
      <c r="C8" s="9" t="inlineStr">
        <is>
          <t>Redirect URI 1</t>
        </is>
      </c>
      <c r="D8" s="10" t="inlineStr">
        <is>
          <t>https://portal.northwind.example/callback</t>
        </is>
      </c>
      <c r="E8" s="10" t="inlineStr">
        <is>
          <t>Redirect URIs</t>
        </is>
      </c>
      <c r="F8" s="10" t="inlineStr">
        <is>
          <t>https://portal.northwind.example/callback</t>
        </is>
      </c>
      <c r="G8" s="9" t="inlineStr">
        <is>
          <t>SAME</t>
        </is>
      </c>
      <c r="H8" s="10" t="inlineStr">
        <is>
          <t>'</t>
        </is>
      </c>
    </row>
    <row r="9">
      <c r="A9" s="9" t="inlineStr">
        <is>
          <t>Employee Portal</t>
        </is>
      </c>
      <c r="B9" s="9" t="inlineStr">
        <is>
          <t>Redirects</t>
        </is>
      </c>
      <c r="C9" s="9" t="inlineStr">
        <is>
          <t>Redirect URI 2</t>
        </is>
      </c>
      <c r="D9" s="10" t="inlineStr">
        <is>
          <t>https://portal.northwind.example/silent-renew</t>
        </is>
      </c>
      <c r="E9" s="10" t="inlineStr">
        <is>
          <t>Redirect URIs</t>
        </is>
      </c>
      <c r="F9" s="10" t="inlineStr">
        <is>
          <t>https://portal.northwind.example/silent-renew</t>
        </is>
      </c>
      <c r="G9" s="9" t="inlineStr">
        <is>
          <t>SAME</t>
        </is>
      </c>
      <c r="H9" s="10" t="inlineStr">
        <is>
          <t>'</t>
        </is>
      </c>
    </row>
    <row r="10">
      <c r="A10" s="9" t="inlineStr">
        <is>
          <t>Employee Portal</t>
        </is>
      </c>
      <c r="B10" s="9" t="inlineStr">
        <is>
          <t>Redirects</t>
        </is>
      </c>
      <c r="C10" s="9" t="inlineStr">
        <is>
          <t>Post-logout redirect 1</t>
        </is>
      </c>
      <c r="D10" s="10" t="inlineStr">
        <is>
          <t>https://portal.northwind.example/</t>
        </is>
      </c>
      <c r="E10" s="10" t="inlineStr">
        <is>
          <t>Logout URIs</t>
        </is>
      </c>
      <c r="F10" s="10" t="inlineStr">
        <is>
          <t>https://portal.northwind.example/</t>
        </is>
      </c>
      <c r="G10" s="9" t="inlineStr">
        <is>
          <t>SAME</t>
        </is>
      </c>
      <c r="H10" s="10" t="inlineStr">
        <is>
          <t>'</t>
        </is>
      </c>
    </row>
    <row r="11">
      <c r="A11" s="9" t="inlineStr">
        <is>
          <t>Employee Portal</t>
        </is>
      </c>
      <c r="B11" s="9" t="inlineStr">
        <is>
          <t>Redirects</t>
        </is>
      </c>
      <c r="C11" s="9" t="inlineStr">
        <is>
          <t>Initiate login URI</t>
        </is>
      </c>
      <c r="D11" s="10" t="inlineStr">
        <is>
          <t>https://portal.northwind.example/login</t>
        </is>
      </c>
      <c r="E11" s="10" t="inlineStr">
        <is>
          <t>Portal / launcher link</t>
        </is>
      </c>
      <c r="F11" s="10" t="inlineStr">
        <is>
          <t>https://portal.northwind.example/login</t>
        </is>
      </c>
      <c r="G11" s="9" t="inlineStr">
        <is>
          <t>CONFIGURE</t>
        </is>
      </c>
      <c r="H11" s="10" t="inlineStr">
        <is>
          <t>Use in your app launcher; PingFederate does not start OIDC logins itself</t>
        </is>
      </c>
    </row>
    <row r="12">
      <c r="A12" s="9" t="inlineStr">
        <is>
          <t>Employee Portal</t>
        </is>
      </c>
      <c r="B12" s="9" t="inlineStr">
        <is>
          <t>Grants &amp; tokens</t>
        </is>
      </c>
      <c r="C12" s="9" t="inlineStr">
        <is>
          <t>Grant: authorization_code</t>
        </is>
      </c>
      <c r="D12" s="10" t="inlineStr">
        <is>
          <t>authorization_code</t>
        </is>
      </c>
      <c r="E12" s="10" t="inlineStr">
        <is>
          <t>Allowed Grant Types</t>
        </is>
      </c>
      <c r="F12" s="10" t="inlineStr">
        <is>
          <t>Authorization Code</t>
        </is>
      </c>
      <c r="G12" s="9" t="inlineStr">
        <is>
          <t>SAME</t>
        </is>
      </c>
      <c r="H12" s="10" t="inlineStr">
        <is>
          <t>'</t>
        </is>
      </c>
    </row>
    <row r="13">
      <c r="A13" s="9" t="inlineStr">
        <is>
          <t>Employee Portal</t>
        </is>
      </c>
      <c r="B13" s="9" t="inlineStr">
        <is>
          <t>Grants &amp; tokens</t>
        </is>
      </c>
      <c r="C13" s="9" t="inlineStr">
        <is>
          <t>Grant: refresh_token</t>
        </is>
      </c>
      <c r="D13" s="10" t="inlineStr">
        <is>
          <t>refresh_token</t>
        </is>
      </c>
      <c r="E13" s="10" t="inlineStr">
        <is>
          <t>Allowed Grant Types</t>
        </is>
      </c>
      <c r="F13" s="10" t="inlineStr">
        <is>
          <t>Refresh Token</t>
        </is>
      </c>
      <c r="G13" s="9" t="inlineStr">
        <is>
          <t>SAME</t>
        </is>
      </c>
      <c r="H13" s="10" t="inlineStr">
        <is>
          <t>'</t>
        </is>
      </c>
    </row>
    <row r="14">
      <c r="A14" s="9" t="inlineStr">
        <is>
          <t>Employee Portal</t>
        </is>
      </c>
      <c r="B14" s="9" t="inlineStr">
        <is>
          <t>Grants &amp; tokens</t>
        </is>
      </c>
      <c r="C14" s="9" t="inlineStr">
        <is>
          <t>Response types</t>
        </is>
      </c>
      <c r="D14" s="10" t="inlineStr">
        <is>
          <t>code</t>
        </is>
      </c>
      <c r="E14" s="10" t="inlineStr">
        <is>
          <t>Restrict Response Types</t>
        </is>
      </c>
      <c r="F14" s="10" t="inlineStr">
        <is>
          <t>code</t>
        </is>
      </c>
      <c r="G14" s="9" t="inlineStr">
        <is>
          <t>CONFIGURE</t>
        </is>
      </c>
      <c r="H14" s="10" t="inlineStr">
        <is>
          <t>'</t>
        </is>
      </c>
    </row>
    <row r="15">
      <c r="A15" s="9" t="inlineStr">
        <is>
          <t>Employee Portal</t>
        </is>
      </c>
      <c r="B15" s="9" t="inlineStr">
        <is>
          <t>Grants &amp; tokens</t>
        </is>
      </c>
      <c r="C15" s="9" t="inlineStr">
        <is>
          <t>PKCE</t>
        </is>
      </c>
      <c r="D15" s="10" t="inlineStr">
        <is>
          <t>No</t>
        </is>
      </c>
      <c r="E15" s="10" t="inlineStr">
        <is>
          <t>Require Proof Key for Code Exchange (PKCE)</t>
        </is>
      </c>
      <c r="F15" s="10" t="inlineStr">
        <is>
          <t>Optional</t>
        </is>
      </c>
      <c r="G15" s="9" t="inlineStr">
        <is>
          <t>SAME</t>
        </is>
      </c>
      <c r="H15" s="10" t="inlineStr">
        <is>
          <t>'</t>
        </is>
      </c>
    </row>
    <row r="16">
      <c r="A16" s="9" t="inlineStr">
        <is>
          <t>Employee Portal</t>
        </is>
      </c>
      <c r="B16" s="9" t="inlineStr">
        <is>
          <t>Grants &amp; tokens</t>
        </is>
      </c>
      <c r="C16" s="9" t="inlineStr">
        <is>
          <t>Existing refresh tokens</t>
        </is>
      </c>
      <c r="D16" s="10" t="inlineStr">
        <is>
          <t>Issued by Okta</t>
        </is>
      </c>
      <c r="E16" s="10" t="inlineStr">
        <is>
          <t>Refresh tokens</t>
        </is>
      </c>
      <c r="F16" s="10" t="inlineStr">
        <is>
          <t>Not migrated - users sign in once after cutover</t>
        </is>
      </c>
      <c r="G16" s="9" t="inlineStr">
        <is>
          <t>SP_UPDATE</t>
        </is>
      </c>
      <c r="H16" s="10" t="inlineStr">
        <is>
          <t>'</t>
        </is>
      </c>
    </row>
    <row r="17">
      <c r="A17" s="9" t="inlineStr">
        <is>
          <t>Employee Portal</t>
        </is>
      </c>
      <c r="B17" s="9" t="inlineStr">
        <is>
          <t>Grants &amp; tokens</t>
        </is>
      </c>
      <c r="C17" s="9" t="inlineStr">
        <is>
          <t>Access token format / lifetime</t>
        </is>
      </c>
      <c r="D17" s="10" t="inlineStr">
        <is>
          <t>Set on the Okta authorization server</t>
        </is>
      </c>
      <c r="E17" s="10" t="inlineStr">
        <is>
          <t>Access Token Manager</t>
        </is>
      </c>
      <c r="F17" s="10" t="inlineStr">
        <is>
          <t>To be defined (next sprint)</t>
        </is>
      </c>
      <c r="G17" s="9" t="inlineStr">
        <is>
          <t>UNKNOWN</t>
        </is>
      </c>
      <c r="H17" s="10" t="inlineStr">
        <is>
          <t>'</t>
        </is>
      </c>
    </row>
    <row r="18">
      <c r="A18" s="9" t="inlineStr">
        <is>
          <t>Employee Portal</t>
        </is>
      </c>
      <c r="B18" s="9" t="inlineStr">
        <is>
          <t>Endpoints</t>
        </is>
      </c>
      <c r="C18" s="9" t="inlineStr">
        <is>
          <t>Issuer</t>
        </is>
      </c>
      <c r="D18" s="10" t="inlineStr">
        <is>
          <t>https://&lt;okta-org&gt;/oauth2/&lt;auth-server&gt;</t>
        </is>
      </c>
      <c r="E18" s="10" t="inlineStr">
        <is>
          <t>PingFederate runtime</t>
        </is>
      </c>
      <c r="F18" s="10" t="inlineStr">
        <is>
          <t>https://sso.example.com</t>
        </is>
      </c>
      <c r="G18" s="9" t="inlineStr">
        <is>
          <t>SP_UPDATE</t>
        </is>
      </c>
      <c r="H18" s="10" t="inlineStr">
        <is>
          <t>Apps using the discovery document pick the rest up automatically</t>
        </is>
      </c>
    </row>
    <row r="19">
      <c r="A19" s="9" t="inlineStr">
        <is>
          <t>Employee Portal</t>
        </is>
      </c>
      <c r="B19" s="9" t="inlineStr">
        <is>
          <t>Endpoints</t>
        </is>
      </c>
      <c r="C19" s="9" t="inlineStr">
        <is>
          <t>Discovery document</t>
        </is>
      </c>
      <c r="D19" s="10" t="inlineStr">
        <is>
          <t>https://&lt;okta-org&gt;/oauth2/&lt;auth-server&gt;/.well-known/openid-configuration</t>
        </is>
      </c>
      <c r="E19" s="10" t="inlineStr">
        <is>
          <t>PingFederate runtime</t>
        </is>
      </c>
      <c r="F19" s="10" t="inlineStr">
        <is>
          <t>https://sso.example.com/.well-known/openid-configuration</t>
        </is>
      </c>
      <c r="G19" s="9" t="inlineStr">
        <is>
          <t>SP_UPDATE</t>
        </is>
      </c>
      <c r="H19" s="10" t="inlineStr">
        <is>
          <t>'</t>
        </is>
      </c>
    </row>
    <row r="20">
      <c r="A20" s="9" t="inlineStr">
        <is>
          <t>Employee Portal</t>
        </is>
      </c>
      <c r="B20" s="9" t="inlineStr">
        <is>
          <t>Endpoints</t>
        </is>
      </c>
      <c r="C20" s="9" t="inlineStr">
        <is>
          <t>Authorization endpoint</t>
        </is>
      </c>
      <c r="D20" s="10" t="inlineStr">
        <is>
          <t>https://&lt;okta-org&gt;/oauth2/&lt;auth-server&gt;/v1/authorize</t>
        </is>
      </c>
      <c r="E20" s="10" t="inlineStr">
        <is>
          <t>PingFederate runtime</t>
        </is>
      </c>
      <c r="F20" s="10" t="inlineStr">
        <is>
          <t>https://sso.example.com/as/authorization.oauth2</t>
        </is>
      </c>
      <c r="G20" s="9" t="inlineStr">
        <is>
          <t>SP_UPDATE</t>
        </is>
      </c>
      <c r="H20" s="10" t="inlineStr">
        <is>
          <t>'</t>
        </is>
      </c>
    </row>
    <row r="21">
      <c r="A21" s="9" t="inlineStr">
        <is>
          <t>Employee Portal</t>
        </is>
      </c>
      <c r="B21" s="9" t="inlineStr">
        <is>
          <t>Endpoints</t>
        </is>
      </c>
      <c r="C21" s="9" t="inlineStr">
        <is>
          <t>Token endpoint</t>
        </is>
      </c>
      <c r="D21" s="10" t="inlineStr">
        <is>
          <t>https://&lt;okta-org&gt;/oauth2/&lt;auth-server&gt;/v1/token</t>
        </is>
      </c>
      <c r="E21" s="10" t="inlineStr">
        <is>
          <t>PingFederate runtime</t>
        </is>
      </c>
      <c r="F21" s="10" t="inlineStr">
        <is>
          <t>https://sso.example.com/as/token.oauth2</t>
        </is>
      </c>
      <c r="G21" s="9" t="inlineStr">
        <is>
          <t>SP_UPDATE</t>
        </is>
      </c>
      <c r="H21" s="10" t="inlineStr">
        <is>
          <t>'</t>
        </is>
      </c>
    </row>
    <row r="22">
      <c r="A22" s="9" t="inlineStr">
        <is>
          <t>Employee Portal</t>
        </is>
      </c>
      <c r="B22" s="9" t="inlineStr">
        <is>
          <t>Endpoints</t>
        </is>
      </c>
      <c r="C22" s="9" t="inlineStr">
        <is>
          <t>UserInfo endpoint</t>
        </is>
      </c>
      <c r="D22" s="10" t="inlineStr">
        <is>
          <t>https://&lt;okta-org&gt;/oauth2/&lt;auth-server&gt;/v1/userinfo</t>
        </is>
      </c>
      <c r="E22" s="10" t="inlineStr">
        <is>
          <t>PingFederate runtime</t>
        </is>
      </c>
      <c r="F22" s="10" t="inlineStr">
        <is>
          <t>https://sso.example.com/idp/userinfo.openid</t>
        </is>
      </c>
      <c r="G22" s="9" t="inlineStr">
        <is>
          <t>SP_UPDATE</t>
        </is>
      </c>
      <c r="H22" s="10" t="inlineStr">
        <is>
          <t>'</t>
        </is>
      </c>
    </row>
    <row r="23">
      <c r="A23" s="9" t="inlineStr">
        <is>
          <t>Employee Portal</t>
        </is>
      </c>
      <c r="B23" s="9" t="inlineStr">
        <is>
          <t>Endpoints</t>
        </is>
      </c>
      <c r="C23" s="9" t="inlineStr">
        <is>
          <t>JWKS (signing keys)</t>
        </is>
      </c>
      <c r="D23" s="10" t="inlineStr">
        <is>
          <t>https://&lt;okta-org&gt;/oauth2/&lt;auth-server&gt;/v1/keys</t>
        </is>
      </c>
      <c r="E23" s="10" t="inlineStr">
        <is>
          <t>PingFederate runtime</t>
        </is>
      </c>
      <c r="F23" s="10" t="inlineStr">
        <is>
          <t>https://sso.example.com/pf/JWKS</t>
        </is>
      </c>
      <c r="G23" s="9" t="inlineStr">
        <is>
          <t>SP_UPDATE</t>
        </is>
      </c>
      <c r="H23" s="10" t="inlineStr">
        <is>
          <t>'</t>
        </is>
      </c>
    </row>
    <row r="24">
      <c r="A24" s="9" t="inlineStr">
        <is>
          <t>Employee Portal</t>
        </is>
      </c>
      <c r="B24" s="9" t="inlineStr">
        <is>
          <t>Endpoints</t>
        </is>
      </c>
      <c r="C24" s="9" t="inlineStr">
        <is>
          <t>Logout endpoint</t>
        </is>
      </c>
      <c r="D24" s="10" t="inlineStr">
        <is>
          <t>https://&lt;okta-org&gt;/oauth2/&lt;auth-server&gt;/v1/logout</t>
        </is>
      </c>
      <c r="E24" s="10" t="inlineStr">
        <is>
          <t>PingFederate runtime</t>
        </is>
      </c>
      <c r="F24" s="10" t="inlineStr">
        <is>
          <t>https://sso.example.com/idp/startSLO.ping</t>
        </is>
      </c>
      <c r="G24" s="9" t="inlineStr">
        <is>
          <t>SP_UPDATE</t>
        </is>
      </c>
      <c r="H24" s="10" t="inlineStr">
        <is>
          <t>'</t>
        </is>
      </c>
    </row>
    <row r="25">
      <c r="A25" s="9" t="inlineStr">
        <is>
          <t>Employee Portal</t>
        </is>
      </c>
      <c r="B25" s="9" t="inlineStr">
        <is>
          <t>Scopes &amp; claims</t>
        </is>
      </c>
      <c r="C25" s="9" t="inlineStr">
        <is>
          <t>Scopes</t>
        </is>
      </c>
      <c r="D25" s="10" t="inlineStr">
        <is>
          <t>Granted by the Okta authorization server policy</t>
        </is>
      </c>
      <c r="E25" s="10" t="inlineStr">
        <is>
          <t>OAuth scopes / scope groups</t>
        </is>
      </c>
      <c r="F25" s="10" t="inlineStr">
        <is>
          <t>Analysed next sprint</t>
        </is>
      </c>
      <c r="G25" s="9" t="inlineStr">
        <is>
          <t>UNKNOWN</t>
        </is>
      </c>
      <c r="H25" s="10" t="inlineStr">
        <is>
          <t>'</t>
        </is>
      </c>
    </row>
    <row r="26">
      <c r="A26" s="9" t="inlineStr">
        <is>
          <t>Employee Portal</t>
        </is>
      </c>
      <c r="B26" s="9" t="inlineStr">
        <is>
          <t>Scopes &amp; claims</t>
        </is>
      </c>
      <c r="C26" s="9" t="inlineStr">
        <is>
          <t>ID token claims</t>
        </is>
      </c>
      <c r="D26" s="10" t="inlineStr">
        <is>
          <t>Okta authorization server claims</t>
        </is>
      </c>
      <c r="E26" s="10" t="inlineStr">
        <is>
          <t>OpenID Connect policy</t>
        </is>
      </c>
      <c r="F26" s="10" t="inlineStr">
        <is>
          <t>Analysed next sprint</t>
        </is>
      </c>
      <c r="G26" s="9" t="inlineStr">
        <is>
          <t>UNKNOWN</t>
        </is>
      </c>
      <c r="H26" s="10" t="inlineStr">
        <is>
          <t>'</t>
        </is>
      </c>
    </row>
    <row r="27">
      <c r="A27" s="9" t="inlineStr">
        <is>
          <t>Employee Portal</t>
        </is>
      </c>
      <c r="B27" s="9" t="inlineStr">
        <is>
          <t>Scopes &amp; claims</t>
        </is>
      </c>
      <c r="C27" s="9" t="inlineStr">
        <is>
          <t>Access token claims</t>
        </is>
      </c>
      <c r="D27" s="10" t="inlineStr">
        <is>
          <t>Okta authorization server claims</t>
        </is>
      </c>
      <c r="E27" s="10" t="inlineStr">
        <is>
          <t>Access token mapping</t>
        </is>
      </c>
      <c r="F27" s="10" t="inlineStr">
        <is>
          <t>Analysed next sprint</t>
        </is>
      </c>
      <c r="G27" s="9" t="inlineStr">
        <is>
          <t>UNKNOWN</t>
        </is>
      </c>
      <c r="H27" s="10" t="inlineStr">
        <is>
          <t>'</t>
        </is>
      </c>
    </row>
    <row r="28">
      <c r="A28" s="9" t="inlineStr">
        <is>
          <t>Employee Portal</t>
        </is>
      </c>
      <c r="B28" s="9" t="inlineStr">
        <is>
          <t>Access control</t>
        </is>
      </c>
      <c r="C28" s="9" t="inlineStr">
        <is>
          <t>Assigned groups</t>
        </is>
      </c>
      <c r="D28" s="10" t="inlineStr">
        <is>
          <t>All Employees</t>
        </is>
      </c>
      <c r="E28" s="10" t="inlineStr">
        <is>
          <t>Authentication policy / issuance criteria</t>
        </is>
      </c>
      <c r="F28" s="10" t="inlineStr">
        <is>
          <t>memberOf includes one of: All Employees</t>
        </is>
      </c>
      <c r="G28" s="9" t="inlineStr">
        <is>
          <t>ACTION</t>
        </is>
      </c>
      <c r="H28" s="10" t="inlineStr">
        <is>
          <t>Without this, any user who can sign in gets tokens</t>
        </is>
      </c>
    </row>
    <row r="29">
      <c r="A29" s="9" t="inlineStr">
        <is>
          <t>Legacy Intranet SPA</t>
        </is>
      </c>
      <c r="B29" s="9" t="inlineStr">
        <is>
          <t>OAuth client</t>
        </is>
      </c>
      <c r="C29" s="9" t="inlineStr">
        <is>
          <t>Client name</t>
        </is>
      </c>
      <c r="D29" s="10" t="inlineStr">
        <is>
          <t>Legacy Intranet SPA</t>
        </is>
      </c>
      <c r="E29" s="10" t="inlineStr">
        <is>
          <t>OAuth Client &gt; Name</t>
        </is>
      </c>
      <c r="F29" s="10" t="inlineStr">
        <is>
          <t>Legacy Intranet SPA</t>
        </is>
      </c>
      <c r="G29" s="9" t="inlineStr">
        <is>
          <t>CONFIGURE</t>
        </is>
      </c>
      <c r="H29" s="10" t="inlineStr">
        <is>
          <t>'</t>
        </is>
      </c>
    </row>
    <row r="30">
      <c r="A30" s="9" t="inlineStr">
        <is>
          <t>Legacy Intranet SPA</t>
        </is>
      </c>
      <c r="B30" s="9" t="inlineStr">
        <is>
          <t>OAuth client</t>
        </is>
      </c>
      <c r="C30" s="9" t="inlineStr">
        <is>
          <t>Client ID</t>
        </is>
      </c>
      <c r="D30" s="10" t="inlineStr">
        <is>
          <t>0oa10LegacySpaClnt10</t>
        </is>
      </c>
      <c r="E30" s="10" t="inlineStr">
        <is>
          <t>OAuth Client &gt; Client ID</t>
        </is>
      </c>
      <c r="F30" s="10" t="inlineStr">
        <is>
          <t>0oa10LegacySpaClnt10</t>
        </is>
      </c>
      <c r="G30" s="9" t="inlineStr">
        <is>
          <t>SAME</t>
        </is>
      </c>
      <c r="H30" s="10" t="inlineStr">
        <is>
          <t>PingFederate lets you keep the same client ID, so the app config for it does not change</t>
        </is>
      </c>
    </row>
    <row r="31">
      <c r="A31" s="9" t="inlineStr">
        <is>
          <t>Legacy Intranet SPA</t>
        </is>
      </c>
      <c r="B31" s="9" t="inlineStr">
        <is>
          <t>OAuth client</t>
        </is>
      </c>
      <c r="C31" s="9" t="inlineStr">
        <is>
          <t>Application type</t>
        </is>
      </c>
      <c r="D31" s="10" t="inlineStr">
        <is>
          <t>browser</t>
        </is>
      </c>
      <c r="E31" s="10" t="inlineStr">
        <is>
          <t>Client type (derived)</t>
        </is>
      </c>
      <c r="F31" s="10" t="inlineStr">
        <is>
          <t>Public client (single-page app)</t>
        </is>
      </c>
      <c r="G31" s="9" t="inlineStr">
        <is>
          <t>CONFIGURE</t>
        </is>
      </c>
      <c r="H31" s="10" t="inlineStr">
        <is>
          <t>'</t>
        </is>
      </c>
    </row>
    <row r="32">
      <c r="A32" s="9" t="inlineStr">
        <is>
          <t>Legacy Intranet SPA</t>
        </is>
      </c>
      <c r="B32" s="9" t="inlineStr">
        <is>
          <t>OAuth client</t>
        </is>
      </c>
      <c r="C32" s="9" t="inlineStr">
        <is>
          <t>Client authentication</t>
        </is>
      </c>
      <c r="D32" s="10" t="inlineStr">
        <is>
          <t>none</t>
        </is>
      </c>
      <c r="E32" s="10" t="inlineStr">
        <is>
          <t>Client Authentication</t>
        </is>
      </c>
      <c r="F32" s="10" t="inlineStr">
        <is>
          <t>None (public client)</t>
        </is>
      </c>
      <c r="G32" s="9" t="inlineStr">
        <is>
          <t>SAME</t>
        </is>
      </c>
      <c r="H32" s="10" t="inlineStr">
        <is>
          <t>'</t>
        </is>
      </c>
    </row>
    <row r="33">
      <c r="A33" s="9" t="inlineStr">
        <is>
          <t>Legacy Intranet SPA</t>
        </is>
      </c>
      <c r="B33" s="9" t="inlineStr">
        <is>
          <t>OAuth client</t>
        </is>
      </c>
      <c r="C33" s="9" t="inlineStr">
        <is>
          <t>Okta app status</t>
        </is>
      </c>
      <c r="D33" s="10" t="inlineStr">
        <is>
          <t>ACTIVE</t>
        </is>
      </c>
      <c r="E33" s="10" t="inlineStr">
        <is>
          <t>Client status</t>
        </is>
      </c>
      <c r="F33" s="10" t="inlineStr">
        <is>
          <t>Enabled</t>
        </is>
      </c>
      <c r="G33" s="9" t="inlineStr">
        <is>
          <t>SAME</t>
        </is>
      </c>
      <c r="H33" s="10" t="inlineStr">
        <is>
          <t>'</t>
        </is>
      </c>
    </row>
    <row r="34">
      <c r="A34" s="9" t="inlineStr">
        <is>
          <t>Legacy Intranet SPA</t>
        </is>
      </c>
      <c r="B34" s="9" t="inlineStr">
        <is>
          <t>OAuth client</t>
        </is>
      </c>
      <c r="C34" s="9" t="inlineStr">
        <is>
          <t>Consent</t>
        </is>
      </c>
      <c r="D34" s="10" t="inlineStr">
        <is>
          <t>TRUSTED</t>
        </is>
      </c>
      <c r="E34" s="10" t="inlineStr">
        <is>
          <t>Bypass Authorization Approval</t>
        </is>
      </c>
      <c r="F34" s="10" t="inlineStr">
        <is>
          <t>Bypass (trusted)</t>
        </is>
      </c>
      <c r="G34" s="9" t="inlineStr">
        <is>
          <t>SAME</t>
        </is>
      </c>
      <c r="H34" s="10" t="inlineStr">
        <is>
          <t>'</t>
        </is>
      </c>
    </row>
    <row r="35">
      <c r="A35" s="9" t="inlineStr">
        <is>
          <t>Legacy Intranet SPA</t>
        </is>
      </c>
      <c r="B35" s="9" t="inlineStr">
        <is>
          <t>Redirects</t>
        </is>
      </c>
      <c r="C35" s="9" t="inlineStr">
        <is>
          <t>Redirect URI 1</t>
        </is>
      </c>
      <c r="D35" s="10" t="inlineStr">
        <is>
          <t>https://intranet.northwind.example/*</t>
        </is>
      </c>
      <c r="E35" s="10" t="inlineStr">
        <is>
          <t>Redirect URIs</t>
        </is>
      </c>
      <c r="F35" s="10" t="inlineStr">
        <is>
          <t>https://intranet.northwind.example/*</t>
        </is>
      </c>
      <c r="G35" s="9" t="inlineStr">
        <is>
          <t>ACTION</t>
        </is>
      </c>
      <c r="H35" s="10" t="inlineStr">
        <is>
          <t>Wildcard: confirm PingFederate matching</t>
        </is>
      </c>
    </row>
    <row r="36">
      <c r="A36" s="9" t="inlineStr">
        <is>
          <t>Legacy Intranet SPA</t>
        </is>
      </c>
      <c r="B36" s="9" t="inlineStr">
        <is>
          <t>Redirects</t>
        </is>
      </c>
      <c r="C36" s="9" t="inlineStr">
        <is>
          <t>Redirect URI 2</t>
        </is>
      </c>
      <c r="D36" s="10" t="inlineStr">
        <is>
          <t>https://intranet-old.northwind.example/auth</t>
        </is>
      </c>
      <c r="E36" s="10" t="inlineStr">
        <is>
          <t>Redirect URIs</t>
        </is>
      </c>
      <c r="F36" s="10" t="inlineStr">
        <is>
          <t>https://intranet-old.northwind.example/auth</t>
        </is>
      </c>
      <c r="G36" s="9" t="inlineStr">
        <is>
          <t>SAME</t>
        </is>
      </c>
      <c r="H36" s="10" t="inlineStr">
        <is>
          <t>'</t>
        </is>
      </c>
    </row>
    <row r="37">
      <c r="A37" s="9" t="inlineStr">
        <is>
          <t>Legacy Intranet SPA</t>
        </is>
      </c>
      <c r="B37" s="9" t="inlineStr">
        <is>
          <t>Grants &amp; tokens</t>
        </is>
      </c>
      <c r="C37" s="9" t="inlineStr">
        <is>
          <t>Grant: implicit</t>
        </is>
      </c>
      <c r="D37" s="10" t="inlineStr">
        <is>
          <t>implicit</t>
        </is>
      </c>
      <c r="E37" s="10" t="inlineStr">
        <is>
          <t>Allowed Grant Types</t>
        </is>
      </c>
      <c r="F37" s="10" t="inlineStr">
        <is>
          <t>Implicit</t>
        </is>
      </c>
      <c r="G37" s="9" t="inlineStr">
        <is>
          <t>ACTION</t>
        </is>
      </c>
      <c r="H37" s="10" t="inlineStr">
        <is>
          <t>Deprecated - move to Authorization Code + PKCE</t>
        </is>
      </c>
    </row>
    <row r="38">
      <c r="A38" s="9" t="inlineStr">
        <is>
          <t>Legacy Intranet SPA</t>
        </is>
      </c>
      <c r="B38" s="9" t="inlineStr">
        <is>
          <t>Grants &amp; tokens</t>
        </is>
      </c>
      <c r="C38" s="9" t="inlineStr">
        <is>
          <t>Response types</t>
        </is>
      </c>
      <c r="D38" s="10" t="inlineStr">
        <is>
          <t>id_token, token</t>
        </is>
      </c>
      <c r="E38" s="10" t="inlineStr">
        <is>
          <t>Restrict Response Types</t>
        </is>
      </c>
      <c r="F38" s="10" t="inlineStr">
        <is>
          <t>id_token, token</t>
        </is>
      </c>
      <c r="G38" s="9" t="inlineStr">
        <is>
          <t>CONFIGURE</t>
        </is>
      </c>
      <c r="H38" s="10" t="inlineStr">
        <is>
          <t>'</t>
        </is>
      </c>
    </row>
    <row r="39">
      <c r="A39" s="9" t="inlineStr">
        <is>
          <t>Legacy Intranet SPA</t>
        </is>
      </c>
      <c r="B39" s="9" t="inlineStr">
        <is>
          <t>Grants &amp; tokens</t>
        </is>
      </c>
      <c r="C39" s="9" t="inlineStr">
        <is>
          <t>Access token format / lifetime</t>
        </is>
      </c>
      <c r="D39" s="10" t="inlineStr">
        <is>
          <t>Set on the Okta authorization server</t>
        </is>
      </c>
      <c r="E39" s="10" t="inlineStr">
        <is>
          <t>Access Token Manager</t>
        </is>
      </c>
      <c r="F39" s="10" t="inlineStr">
        <is>
          <t>To be defined (next sprint)</t>
        </is>
      </c>
      <c r="G39" s="9" t="inlineStr">
        <is>
          <t>UNKNOWN</t>
        </is>
      </c>
      <c r="H39" s="10" t="inlineStr">
        <is>
          <t>'</t>
        </is>
      </c>
    </row>
    <row r="40">
      <c r="A40" s="9" t="inlineStr">
        <is>
          <t>Legacy Intranet SPA</t>
        </is>
      </c>
      <c r="B40" s="9" t="inlineStr">
        <is>
          <t>Endpoints</t>
        </is>
      </c>
      <c r="C40" s="9" t="inlineStr">
        <is>
          <t>Issuer</t>
        </is>
      </c>
      <c r="D40" s="10" t="inlineStr">
        <is>
          <t>https://&lt;okta-org&gt;/oauth2/&lt;auth-server&gt;</t>
        </is>
      </c>
      <c r="E40" s="10" t="inlineStr">
        <is>
          <t>PingFederate runtime</t>
        </is>
      </c>
      <c r="F40" s="10" t="inlineStr">
        <is>
          <t>https://sso.example.com</t>
        </is>
      </c>
      <c r="G40" s="9" t="inlineStr">
        <is>
          <t>SP_UPDATE</t>
        </is>
      </c>
      <c r="H40" s="10" t="inlineStr">
        <is>
          <t>Apps using the discovery document pick the rest up automatically</t>
        </is>
      </c>
    </row>
    <row r="41">
      <c r="A41" s="9" t="inlineStr">
        <is>
          <t>Legacy Intranet SPA</t>
        </is>
      </c>
      <c r="B41" s="9" t="inlineStr">
        <is>
          <t>Endpoints</t>
        </is>
      </c>
      <c r="C41" s="9" t="inlineStr">
        <is>
          <t>Discovery document</t>
        </is>
      </c>
      <c r="D41" s="10" t="inlineStr">
        <is>
          <t>https://&lt;okta-org&gt;/oauth2/&lt;auth-server&gt;/.well-known/openid-configuration</t>
        </is>
      </c>
      <c r="E41" s="10" t="inlineStr">
        <is>
          <t>PingFederate runtime</t>
        </is>
      </c>
      <c r="F41" s="10" t="inlineStr">
        <is>
          <t>https://sso.example.com/.well-known/openid-configuration</t>
        </is>
      </c>
      <c r="G41" s="9" t="inlineStr">
        <is>
          <t>SP_UPDATE</t>
        </is>
      </c>
      <c r="H41" s="10" t="inlineStr">
        <is>
          <t>'</t>
        </is>
      </c>
    </row>
    <row r="42">
      <c r="A42" s="9" t="inlineStr">
        <is>
          <t>Legacy Intranet SPA</t>
        </is>
      </c>
      <c r="B42" s="9" t="inlineStr">
        <is>
          <t>Endpoints</t>
        </is>
      </c>
      <c r="C42" s="9" t="inlineStr">
        <is>
          <t>Authorization endpoint</t>
        </is>
      </c>
      <c r="D42" s="10" t="inlineStr">
        <is>
          <t>https://&lt;okta-org&gt;/oauth2/&lt;auth-server&gt;/v1/authorize</t>
        </is>
      </c>
      <c r="E42" s="10" t="inlineStr">
        <is>
          <t>PingFederate runtime</t>
        </is>
      </c>
      <c r="F42" s="10" t="inlineStr">
        <is>
          <t>https://sso.example.com/as/authorization.oauth2</t>
        </is>
      </c>
      <c r="G42" s="9" t="inlineStr">
        <is>
          <t>SP_UPDATE</t>
        </is>
      </c>
      <c r="H42" s="10" t="inlineStr">
        <is>
          <t>'</t>
        </is>
      </c>
    </row>
    <row r="43">
      <c r="A43" s="9" t="inlineStr">
        <is>
          <t>Legacy Intranet SPA</t>
        </is>
      </c>
      <c r="B43" s="9" t="inlineStr">
        <is>
          <t>Endpoints</t>
        </is>
      </c>
      <c r="C43" s="9" t="inlineStr">
        <is>
          <t>Token endpoint</t>
        </is>
      </c>
      <c r="D43" s="10" t="inlineStr">
        <is>
          <t>https://&lt;okta-org&gt;/oauth2/&lt;auth-server&gt;/v1/token</t>
        </is>
      </c>
      <c r="E43" s="10" t="inlineStr">
        <is>
          <t>PingFederate runtime</t>
        </is>
      </c>
      <c r="F43" s="10" t="inlineStr">
        <is>
          <t>https://sso.example.com/as/token.oauth2</t>
        </is>
      </c>
      <c r="G43" s="9" t="inlineStr">
        <is>
          <t>SP_UPDATE</t>
        </is>
      </c>
      <c r="H43" s="10" t="inlineStr">
        <is>
          <t>'</t>
        </is>
      </c>
    </row>
    <row r="44">
      <c r="A44" s="9" t="inlineStr">
        <is>
          <t>Legacy Intranet SPA</t>
        </is>
      </c>
      <c r="B44" s="9" t="inlineStr">
        <is>
          <t>Endpoints</t>
        </is>
      </c>
      <c r="C44" s="9" t="inlineStr">
        <is>
          <t>UserInfo endpoint</t>
        </is>
      </c>
      <c r="D44" s="10" t="inlineStr">
        <is>
          <t>https://&lt;okta-org&gt;/oauth2/&lt;auth-server&gt;/v1/userinfo</t>
        </is>
      </c>
      <c r="E44" s="10" t="inlineStr">
        <is>
          <t>PingFederate runtime</t>
        </is>
      </c>
      <c r="F44" s="10" t="inlineStr">
        <is>
          <t>https://sso.example.com/idp/userinfo.openid</t>
        </is>
      </c>
      <c r="G44" s="9" t="inlineStr">
        <is>
          <t>SP_UPDATE</t>
        </is>
      </c>
      <c r="H44" s="10" t="inlineStr">
        <is>
          <t>'</t>
        </is>
      </c>
    </row>
    <row r="45">
      <c r="A45" s="9" t="inlineStr">
        <is>
          <t>Legacy Intranet SPA</t>
        </is>
      </c>
      <c r="B45" s="9" t="inlineStr">
        <is>
          <t>Endpoints</t>
        </is>
      </c>
      <c r="C45" s="9" t="inlineStr">
        <is>
          <t>JWKS (signing keys)</t>
        </is>
      </c>
      <c r="D45" s="10" t="inlineStr">
        <is>
          <t>https://&lt;okta-org&gt;/oauth2/&lt;auth-server&gt;/v1/keys</t>
        </is>
      </c>
      <c r="E45" s="10" t="inlineStr">
        <is>
          <t>PingFederate runtime</t>
        </is>
      </c>
      <c r="F45" s="10" t="inlineStr">
        <is>
          <t>https://sso.example.com/pf/JWKS</t>
        </is>
      </c>
      <c r="G45" s="9" t="inlineStr">
        <is>
          <t>SP_UPDATE</t>
        </is>
      </c>
      <c r="H45" s="10" t="inlineStr">
        <is>
          <t>'</t>
        </is>
      </c>
    </row>
    <row r="46">
      <c r="A46" s="9" t="inlineStr">
        <is>
          <t>Legacy Intranet SPA</t>
        </is>
      </c>
      <c r="B46" s="9" t="inlineStr">
        <is>
          <t>Scopes &amp; claims</t>
        </is>
      </c>
      <c r="C46" s="9" t="inlineStr">
        <is>
          <t>Scopes</t>
        </is>
      </c>
      <c r="D46" s="10" t="inlineStr">
        <is>
          <t>Granted by the Okta authorization server policy</t>
        </is>
      </c>
      <c r="E46" s="10" t="inlineStr">
        <is>
          <t>OAuth scopes / scope groups</t>
        </is>
      </c>
      <c r="F46" s="10" t="inlineStr">
        <is>
          <t>Analysed next sprint</t>
        </is>
      </c>
      <c r="G46" s="9" t="inlineStr">
        <is>
          <t>UNKNOWN</t>
        </is>
      </c>
      <c r="H46" s="10" t="inlineStr">
        <is>
          <t>'</t>
        </is>
      </c>
    </row>
    <row r="47">
      <c r="A47" s="9" t="inlineStr">
        <is>
          <t>Legacy Intranet SPA</t>
        </is>
      </c>
      <c r="B47" s="9" t="inlineStr">
        <is>
          <t>Scopes &amp; claims</t>
        </is>
      </c>
      <c r="C47" s="9" t="inlineStr">
        <is>
          <t>ID token claims</t>
        </is>
      </c>
      <c r="D47" s="10" t="inlineStr">
        <is>
          <t>Okta authorization server claims</t>
        </is>
      </c>
      <c r="E47" s="10" t="inlineStr">
        <is>
          <t>OpenID Connect policy</t>
        </is>
      </c>
      <c r="F47" s="10" t="inlineStr">
        <is>
          <t>Analysed next sprint</t>
        </is>
      </c>
      <c r="G47" s="9" t="inlineStr">
        <is>
          <t>UNKNOWN</t>
        </is>
      </c>
      <c r="H47" s="10" t="inlineStr">
        <is>
          <t>'</t>
        </is>
      </c>
    </row>
    <row r="48">
      <c r="A48" s="9" t="inlineStr">
        <is>
          <t>Legacy Intranet SPA</t>
        </is>
      </c>
      <c r="B48" s="9" t="inlineStr">
        <is>
          <t>Scopes &amp; claims</t>
        </is>
      </c>
      <c r="C48" s="9" t="inlineStr">
        <is>
          <t>Access token claims</t>
        </is>
      </c>
      <c r="D48" s="10" t="inlineStr">
        <is>
          <t>Okta authorization server claims</t>
        </is>
      </c>
      <c r="E48" s="10" t="inlineStr">
        <is>
          <t>Access token mapping</t>
        </is>
      </c>
      <c r="F48" s="10" t="inlineStr">
        <is>
          <t>Analysed next sprint</t>
        </is>
      </c>
      <c r="G48" s="9" t="inlineStr">
        <is>
          <t>UNKNOWN</t>
        </is>
      </c>
      <c r="H48" s="10" t="inlineStr">
        <is>
          <t>'</t>
        </is>
      </c>
    </row>
    <row r="49">
      <c r="A49" s="9" t="inlineStr">
        <is>
          <t>Legacy Intranet SPA</t>
        </is>
      </c>
      <c r="B49" s="9" t="inlineStr">
        <is>
          <t>Access control</t>
        </is>
      </c>
      <c r="C49" s="9" t="inlineStr">
        <is>
          <t>Assigned groups</t>
        </is>
      </c>
      <c r="D49" s="10" t="inlineStr">
        <is>
          <t>Sales</t>
        </is>
      </c>
      <c r="E49" s="10" t="inlineStr">
        <is>
          <t>Authentication policy / issuance criteria</t>
        </is>
      </c>
      <c r="F49" s="10" t="inlineStr">
        <is>
          <t>memberOf includes one of: Sales</t>
        </is>
      </c>
      <c r="G49" s="9" t="inlineStr">
        <is>
          <t>ACTION</t>
        </is>
      </c>
      <c r="H49" s="10" t="inlineStr">
        <is>
          <t>Without this, any user who can sign in gets tokens</t>
        </is>
      </c>
    </row>
    <row r="50">
      <c r="A50" s="9" t="inlineStr">
        <is>
          <t>Legacy Intranet SPA</t>
        </is>
      </c>
      <c r="B50" s="9" t="inlineStr">
        <is>
          <t>Access control</t>
        </is>
      </c>
      <c r="C50" s="9" t="inlineStr">
        <is>
          <t>Direct user assignments</t>
        </is>
      </c>
      <c r="D50" s="10" t="inlineStr">
        <is>
          <t>1 user(s)</t>
        </is>
      </c>
      <c r="E50" s="10" t="inlineStr">
        <is>
          <t>Authentication policy</t>
        </is>
      </c>
      <c r="F50" s="10" t="inlineStr">
        <is>
          <t>Put users in a directory group</t>
        </is>
      </c>
      <c r="G50" s="9" t="inlineStr">
        <is>
          <t>ACTION</t>
        </is>
      </c>
      <c r="H50" s="10" t="inlineStr">
        <is>
          <t>'</t>
        </is>
      </c>
    </row>
    <row r="51">
      <c r="A51" s="9" t="inlineStr">
        <is>
          <t>Legacy Intranet SPA</t>
        </is>
      </c>
      <c r="B51" s="9" t="inlineStr">
        <is>
          <t>Access control</t>
        </is>
      </c>
      <c r="C51" s="9" t="inlineStr">
        <is>
          <t>Okta-only groups</t>
        </is>
      </c>
      <c r="D51" s="10" t="inlineStr">
        <is>
          <t>Sales</t>
        </is>
      </c>
      <c r="E51" s="10" t="inlineStr">
        <is>
          <t>Directory groups</t>
        </is>
      </c>
      <c r="F51" s="10" t="inlineStr">
        <is>
          <t>Create and populate in the directory</t>
        </is>
      </c>
      <c r="G51" s="9" t="inlineStr">
        <is>
          <t>ACTION</t>
        </is>
      </c>
      <c r="H51" s="10" t="inlineStr">
        <is>
          <t>'</t>
        </is>
      </c>
    </row>
    <row r="52">
      <c r="A52" s="9" t="inlineStr">
        <is>
          <t>Mobile Expenses</t>
        </is>
      </c>
      <c r="B52" s="9" t="inlineStr">
        <is>
          <t>OAuth client</t>
        </is>
      </c>
      <c r="C52" s="9" t="inlineStr">
        <is>
          <t>Client name</t>
        </is>
      </c>
      <c r="D52" s="10" t="inlineStr">
        <is>
          <t>Mobile Expenses</t>
        </is>
      </c>
      <c r="E52" s="10" t="inlineStr">
        <is>
          <t>OAuth Client &gt; Name</t>
        </is>
      </c>
      <c r="F52" s="10" t="inlineStr">
        <is>
          <t>Mobile Expenses</t>
        </is>
      </c>
      <c r="G52" s="9" t="inlineStr">
        <is>
          <t>CONFIGURE</t>
        </is>
      </c>
      <c r="H52" s="10" t="inlineStr">
        <is>
          <t>'</t>
        </is>
      </c>
    </row>
    <row r="53">
      <c r="A53" s="9" t="inlineStr">
        <is>
          <t>Mobile Expenses</t>
        </is>
      </c>
      <c r="B53" s="9" t="inlineStr">
        <is>
          <t>OAuth client</t>
        </is>
      </c>
      <c r="C53" s="9" t="inlineStr">
        <is>
          <t>Client ID</t>
        </is>
      </c>
      <c r="D53" s="10" t="inlineStr">
        <is>
          <t>0oa8MobileExpClient08</t>
        </is>
      </c>
      <c r="E53" s="10" t="inlineStr">
        <is>
          <t>OAuth Client &gt; Client ID</t>
        </is>
      </c>
      <c r="F53" s="10" t="inlineStr">
        <is>
          <t>0oa8MobileExpClient08</t>
        </is>
      </c>
      <c r="G53" s="9" t="inlineStr">
        <is>
          <t>SAME</t>
        </is>
      </c>
      <c r="H53" s="10" t="inlineStr">
        <is>
          <t>PingFederate lets you keep the same client ID, so the app config for it does not change</t>
        </is>
      </c>
    </row>
    <row r="54">
      <c r="A54" s="9" t="inlineStr">
        <is>
          <t>Mobile Expenses</t>
        </is>
      </c>
      <c r="B54" s="9" t="inlineStr">
        <is>
          <t>OAuth client</t>
        </is>
      </c>
      <c r="C54" s="9" t="inlineStr">
        <is>
          <t>Application type</t>
        </is>
      </c>
      <c r="D54" s="10" t="inlineStr">
        <is>
          <t>native</t>
        </is>
      </c>
      <c r="E54" s="10" t="inlineStr">
        <is>
          <t>Client type (derived)</t>
        </is>
      </c>
      <c r="F54" s="10" t="inlineStr">
        <is>
          <t>Public client (native / mobile)</t>
        </is>
      </c>
      <c r="G54" s="9" t="inlineStr">
        <is>
          <t>CONFIGURE</t>
        </is>
      </c>
      <c r="H54" s="10" t="inlineStr">
        <is>
          <t>'</t>
        </is>
      </c>
    </row>
    <row r="55">
      <c r="A55" s="9" t="inlineStr">
        <is>
          <t>Mobile Expenses</t>
        </is>
      </c>
      <c r="B55" s="9" t="inlineStr">
        <is>
          <t>OAuth client</t>
        </is>
      </c>
      <c r="C55" s="9" t="inlineStr">
        <is>
          <t>Client authentication</t>
        </is>
      </c>
      <c r="D55" s="10" t="inlineStr">
        <is>
          <t>none</t>
        </is>
      </c>
      <c r="E55" s="10" t="inlineStr">
        <is>
          <t>Client Authentication</t>
        </is>
      </c>
      <c r="F55" s="10" t="inlineStr">
        <is>
          <t>None (public client)</t>
        </is>
      </c>
      <c r="G55" s="9" t="inlineStr">
        <is>
          <t>SAME</t>
        </is>
      </c>
      <c r="H55" s="10" t="inlineStr">
        <is>
          <t>'</t>
        </is>
      </c>
    </row>
    <row r="56">
      <c r="A56" s="9" t="inlineStr">
        <is>
          <t>Mobile Expenses</t>
        </is>
      </c>
      <c r="B56" s="9" t="inlineStr">
        <is>
          <t>OAuth client</t>
        </is>
      </c>
      <c r="C56" s="9" t="inlineStr">
        <is>
          <t>Okta app status</t>
        </is>
      </c>
      <c r="D56" s="10" t="inlineStr">
        <is>
          <t>ACTIVE</t>
        </is>
      </c>
      <c r="E56" s="10" t="inlineStr">
        <is>
          <t>Client status</t>
        </is>
      </c>
      <c r="F56" s="10" t="inlineStr">
        <is>
          <t>Enabled</t>
        </is>
      </c>
      <c r="G56" s="9" t="inlineStr">
        <is>
          <t>SAME</t>
        </is>
      </c>
      <c r="H56" s="10" t="inlineStr">
        <is>
          <t>'</t>
        </is>
      </c>
    </row>
    <row r="57">
      <c r="A57" s="9" t="inlineStr">
        <is>
          <t>Mobile Expenses</t>
        </is>
      </c>
      <c r="B57" s="9" t="inlineStr">
        <is>
          <t>OAuth client</t>
        </is>
      </c>
      <c r="C57" s="9" t="inlineStr">
        <is>
          <t>Consent</t>
        </is>
      </c>
      <c r="D57" s="10" t="inlineStr">
        <is>
          <t>TRUSTED</t>
        </is>
      </c>
      <c r="E57" s="10" t="inlineStr">
        <is>
          <t>Bypass Authorization Approval</t>
        </is>
      </c>
      <c r="F57" s="10" t="inlineStr">
        <is>
          <t>Bypass (trusted)</t>
        </is>
      </c>
      <c r="G57" s="9" t="inlineStr">
        <is>
          <t>SAME</t>
        </is>
      </c>
      <c r="H57" s="10" t="inlineStr">
        <is>
          <t>'</t>
        </is>
      </c>
    </row>
    <row r="58">
      <c r="A58" s="9" t="inlineStr">
        <is>
          <t>Mobile Expenses</t>
        </is>
      </c>
      <c r="B58" s="9" t="inlineStr">
        <is>
          <t>Redirects</t>
        </is>
      </c>
      <c r="C58" s="9" t="inlineStr">
        <is>
          <t>Redirect URI 1</t>
        </is>
      </c>
      <c r="D58" s="10" t="inlineStr">
        <is>
          <t>com.northwind.expenses:/callback</t>
        </is>
      </c>
      <c r="E58" s="10" t="inlineStr">
        <is>
          <t>Redirect URIs</t>
        </is>
      </c>
      <c r="F58" s="10" t="inlineStr">
        <is>
          <t>com.northwind.expenses:/callback</t>
        </is>
      </c>
      <c r="G58" s="9" t="inlineStr">
        <is>
          <t>SAME</t>
        </is>
      </c>
      <c r="H58" s="10" t="inlineStr">
        <is>
          <t>'</t>
        </is>
      </c>
    </row>
    <row r="59">
      <c r="A59" s="9" t="inlineStr">
        <is>
          <t>Mobile Expenses</t>
        </is>
      </c>
      <c r="B59" s="9" t="inlineStr">
        <is>
          <t>Grants &amp; tokens</t>
        </is>
      </c>
      <c r="C59" s="9" t="inlineStr">
        <is>
          <t>Grant: authorization_code</t>
        </is>
      </c>
      <c r="D59" s="10" t="inlineStr">
        <is>
          <t>authorization_code</t>
        </is>
      </c>
      <c r="E59" s="10" t="inlineStr">
        <is>
          <t>Allowed Grant Types</t>
        </is>
      </c>
      <c r="F59" s="10" t="inlineStr">
        <is>
          <t>Authorization Code</t>
        </is>
      </c>
      <c r="G59" s="9" t="inlineStr">
        <is>
          <t>SAME</t>
        </is>
      </c>
      <c r="H59" s="10" t="inlineStr">
        <is>
          <t>'</t>
        </is>
      </c>
    </row>
    <row r="60">
      <c r="A60" s="9" t="inlineStr">
        <is>
          <t>Mobile Expenses</t>
        </is>
      </c>
      <c r="B60" s="9" t="inlineStr">
        <is>
          <t>Grants &amp; tokens</t>
        </is>
      </c>
      <c r="C60" s="9" t="inlineStr">
        <is>
          <t>Grant: refresh_token</t>
        </is>
      </c>
      <c r="D60" s="10" t="inlineStr">
        <is>
          <t>refresh_token</t>
        </is>
      </c>
      <c r="E60" s="10" t="inlineStr">
        <is>
          <t>Allowed Grant Types</t>
        </is>
      </c>
      <c r="F60" s="10" t="inlineStr">
        <is>
          <t>Refresh Token</t>
        </is>
      </c>
      <c r="G60" s="9" t="inlineStr">
        <is>
          <t>SAME</t>
        </is>
      </c>
      <c r="H60" s="10" t="inlineStr">
        <is>
          <t>'</t>
        </is>
      </c>
    </row>
    <row r="61">
      <c r="A61" s="9" t="inlineStr">
        <is>
          <t>Mobile Expenses</t>
        </is>
      </c>
      <c r="B61" s="9" t="inlineStr">
        <is>
          <t>Grants &amp; tokens</t>
        </is>
      </c>
      <c r="C61" s="9" t="inlineStr">
        <is>
          <t>Response types</t>
        </is>
      </c>
      <c r="D61" s="10" t="inlineStr">
        <is>
          <t>code</t>
        </is>
      </c>
      <c r="E61" s="10" t="inlineStr">
        <is>
          <t>Restrict Response Types</t>
        </is>
      </c>
      <c r="F61" s="10" t="inlineStr">
        <is>
          <t>code</t>
        </is>
      </c>
      <c r="G61" s="9" t="inlineStr">
        <is>
          <t>CONFIGURE</t>
        </is>
      </c>
      <c r="H61" s="10" t="inlineStr">
        <is>
          <t>'</t>
        </is>
      </c>
    </row>
    <row r="62">
      <c r="A62" s="9" t="inlineStr">
        <is>
          <t>Mobile Expenses</t>
        </is>
      </c>
      <c r="B62" s="9" t="inlineStr">
        <is>
          <t>Grants &amp; tokens</t>
        </is>
      </c>
      <c r="C62" s="9" t="inlineStr">
        <is>
          <t>PKCE</t>
        </is>
      </c>
      <c r="D62" s="10" t="inlineStr">
        <is>
          <t>Yes</t>
        </is>
      </c>
      <c r="E62" s="10" t="inlineStr">
        <is>
          <t>Require Proof Key for Code Exchange (PKCE)</t>
        </is>
      </c>
      <c r="F62" s="10" t="inlineStr">
        <is>
          <t>Yes</t>
        </is>
      </c>
      <c r="G62" s="9" t="inlineStr">
        <is>
          <t>SAME</t>
        </is>
      </c>
      <c r="H62" s="10" t="inlineStr">
        <is>
          <t>'</t>
        </is>
      </c>
    </row>
    <row r="63">
      <c r="A63" s="9" t="inlineStr">
        <is>
          <t>Mobile Expenses</t>
        </is>
      </c>
      <c r="B63" s="9" t="inlineStr">
        <is>
          <t>Grants &amp; tokens</t>
        </is>
      </c>
      <c r="C63" s="9" t="inlineStr">
        <is>
          <t>Existing refresh tokens</t>
        </is>
      </c>
      <c r="D63" s="10" t="inlineStr">
        <is>
          <t>Issued by Okta</t>
        </is>
      </c>
      <c r="E63" s="10" t="inlineStr">
        <is>
          <t>Refresh tokens</t>
        </is>
      </c>
      <c r="F63" s="10" t="inlineStr">
        <is>
          <t>Not migrated - users sign in once after cutover</t>
        </is>
      </c>
      <c r="G63" s="9" t="inlineStr">
        <is>
          <t>SP_UPDATE</t>
        </is>
      </c>
      <c r="H63" s="10" t="inlineStr">
        <is>
          <t>'</t>
        </is>
      </c>
    </row>
    <row r="64">
      <c r="A64" s="9" t="inlineStr">
        <is>
          <t>Mobile Expenses</t>
        </is>
      </c>
      <c r="B64" s="9" t="inlineStr">
        <is>
          <t>Grants &amp; tokens</t>
        </is>
      </c>
      <c r="C64" s="9" t="inlineStr">
        <is>
          <t>Access token format / lifetime</t>
        </is>
      </c>
      <c r="D64" s="10" t="inlineStr">
        <is>
          <t>Set on the Okta authorization server</t>
        </is>
      </c>
      <c r="E64" s="10" t="inlineStr">
        <is>
          <t>Access Token Manager</t>
        </is>
      </c>
      <c r="F64" s="10" t="inlineStr">
        <is>
          <t>To be defined (next sprint)</t>
        </is>
      </c>
      <c r="G64" s="9" t="inlineStr">
        <is>
          <t>UNKNOWN</t>
        </is>
      </c>
      <c r="H64" s="10" t="inlineStr">
        <is>
          <t>'</t>
        </is>
      </c>
    </row>
    <row r="65">
      <c r="A65" s="9" t="inlineStr">
        <is>
          <t>Mobile Expenses</t>
        </is>
      </c>
      <c r="B65" s="9" t="inlineStr">
        <is>
          <t>Endpoints</t>
        </is>
      </c>
      <c r="C65" s="9" t="inlineStr">
        <is>
          <t>Issuer</t>
        </is>
      </c>
      <c r="D65" s="10" t="inlineStr">
        <is>
          <t>https://&lt;okta-org&gt;/oauth2/&lt;auth-server&gt;</t>
        </is>
      </c>
      <c r="E65" s="10" t="inlineStr">
        <is>
          <t>PingFederate runtime</t>
        </is>
      </c>
      <c r="F65" s="10" t="inlineStr">
        <is>
          <t>https://sso.example.com</t>
        </is>
      </c>
      <c r="G65" s="9" t="inlineStr">
        <is>
          <t>SP_UPDATE</t>
        </is>
      </c>
      <c r="H65" s="10" t="inlineStr">
        <is>
          <t>Apps using the discovery document pick the rest up automatically</t>
        </is>
      </c>
    </row>
    <row r="66">
      <c r="A66" s="9" t="inlineStr">
        <is>
          <t>Mobile Expenses</t>
        </is>
      </c>
      <c r="B66" s="9" t="inlineStr">
        <is>
          <t>Endpoints</t>
        </is>
      </c>
      <c r="C66" s="9" t="inlineStr">
        <is>
          <t>Discovery document</t>
        </is>
      </c>
      <c r="D66" s="10" t="inlineStr">
        <is>
          <t>https://&lt;okta-org&gt;/oauth2/&lt;auth-server&gt;/.well-known/openid-configuration</t>
        </is>
      </c>
      <c r="E66" s="10" t="inlineStr">
        <is>
          <t>PingFederate runtime</t>
        </is>
      </c>
      <c r="F66" s="10" t="inlineStr">
        <is>
          <t>https://sso.example.com/.well-known/openid-configuration</t>
        </is>
      </c>
      <c r="G66" s="9" t="inlineStr">
        <is>
          <t>SP_UPDATE</t>
        </is>
      </c>
      <c r="H66" s="10" t="inlineStr">
        <is>
          <t>'</t>
        </is>
      </c>
    </row>
    <row r="67">
      <c r="A67" s="9" t="inlineStr">
        <is>
          <t>Mobile Expenses</t>
        </is>
      </c>
      <c r="B67" s="9" t="inlineStr">
        <is>
          <t>Endpoints</t>
        </is>
      </c>
      <c r="C67" s="9" t="inlineStr">
        <is>
          <t>Authorization endpoint</t>
        </is>
      </c>
      <c r="D67" s="10" t="inlineStr">
        <is>
          <t>https://&lt;okta-org&gt;/oauth2/&lt;auth-server&gt;/v1/authorize</t>
        </is>
      </c>
      <c r="E67" s="10" t="inlineStr">
        <is>
          <t>PingFederate runtime</t>
        </is>
      </c>
      <c r="F67" s="10" t="inlineStr">
        <is>
          <t>https://sso.example.com/as/authorization.oauth2</t>
        </is>
      </c>
      <c r="G67" s="9" t="inlineStr">
        <is>
          <t>SP_UPDATE</t>
        </is>
      </c>
      <c r="H67" s="10" t="inlineStr">
        <is>
          <t>'</t>
        </is>
      </c>
    </row>
    <row r="68">
      <c r="A68" s="9" t="inlineStr">
        <is>
          <t>Mobile Expenses</t>
        </is>
      </c>
      <c r="B68" s="9" t="inlineStr">
        <is>
          <t>Endpoints</t>
        </is>
      </c>
      <c r="C68" s="9" t="inlineStr">
        <is>
          <t>Token endpoint</t>
        </is>
      </c>
      <c r="D68" s="10" t="inlineStr">
        <is>
          <t>https://&lt;okta-org&gt;/oauth2/&lt;auth-server&gt;/v1/token</t>
        </is>
      </c>
      <c r="E68" s="10" t="inlineStr">
        <is>
          <t>PingFederate runtime</t>
        </is>
      </c>
      <c r="F68" s="10" t="inlineStr">
        <is>
          <t>https://sso.example.com/as/token.oauth2</t>
        </is>
      </c>
      <c r="G68" s="9" t="inlineStr">
        <is>
          <t>SP_UPDATE</t>
        </is>
      </c>
      <c r="H68" s="10" t="inlineStr">
        <is>
          <t>'</t>
        </is>
      </c>
    </row>
    <row r="69">
      <c r="A69" s="9" t="inlineStr">
        <is>
          <t>Mobile Expenses</t>
        </is>
      </c>
      <c r="B69" s="9" t="inlineStr">
        <is>
          <t>Endpoints</t>
        </is>
      </c>
      <c r="C69" s="9" t="inlineStr">
        <is>
          <t>UserInfo endpoint</t>
        </is>
      </c>
      <c r="D69" s="10" t="inlineStr">
        <is>
          <t>https://&lt;okta-org&gt;/oauth2/&lt;auth-server&gt;/v1/userinfo</t>
        </is>
      </c>
      <c r="E69" s="10" t="inlineStr">
        <is>
          <t>PingFederate runtime</t>
        </is>
      </c>
      <c r="F69" s="10" t="inlineStr">
        <is>
          <t>https://sso.example.com/idp/userinfo.openid</t>
        </is>
      </c>
      <c r="G69" s="9" t="inlineStr">
        <is>
          <t>SP_UPDATE</t>
        </is>
      </c>
      <c r="H69" s="10" t="inlineStr">
        <is>
          <t>'</t>
        </is>
      </c>
    </row>
    <row r="70">
      <c r="A70" s="9" t="inlineStr">
        <is>
          <t>Mobile Expenses</t>
        </is>
      </c>
      <c r="B70" s="9" t="inlineStr">
        <is>
          <t>Endpoints</t>
        </is>
      </c>
      <c r="C70" s="9" t="inlineStr">
        <is>
          <t>JWKS (signing keys)</t>
        </is>
      </c>
      <c r="D70" s="10" t="inlineStr">
        <is>
          <t>https://&lt;okta-org&gt;/oauth2/&lt;auth-server&gt;/v1/keys</t>
        </is>
      </c>
      <c r="E70" s="10" t="inlineStr">
        <is>
          <t>PingFederate runtime</t>
        </is>
      </c>
      <c r="F70" s="10" t="inlineStr">
        <is>
          <t>https://sso.example.com/pf/JWKS</t>
        </is>
      </c>
      <c r="G70" s="9" t="inlineStr">
        <is>
          <t>SP_UPDATE</t>
        </is>
      </c>
      <c r="H70" s="10" t="inlineStr">
        <is>
          <t>'</t>
        </is>
      </c>
    </row>
    <row r="71">
      <c r="A71" s="9" t="inlineStr">
        <is>
          <t>Mobile Expenses</t>
        </is>
      </c>
      <c r="B71" s="9" t="inlineStr">
        <is>
          <t>Scopes &amp; claims</t>
        </is>
      </c>
      <c r="C71" s="9" t="inlineStr">
        <is>
          <t>Scopes</t>
        </is>
      </c>
      <c r="D71" s="10" t="inlineStr">
        <is>
          <t>Granted by the Okta authorization server policy</t>
        </is>
      </c>
      <c r="E71" s="10" t="inlineStr">
        <is>
          <t>OAuth scopes / scope groups</t>
        </is>
      </c>
      <c r="F71" s="10" t="inlineStr">
        <is>
          <t>Analysed next sprint</t>
        </is>
      </c>
      <c r="G71" s="9" t="inlineStr">
        <is>
          <t>UNKNOWN</t>
        </is>
      </c>
      <c r="H71" s="10" t="inlineStr">
        <is>
          <t>'</t>
        </is>
      </c>
    </row>
    <row r="72">
      <c r="A72" s="9" t="inlineStr">
        <is>
          <t>Mobile Expenses</t>
        </is>
      </c>
      <c r="B72" s="9" t="inlineStr">
        <is>
          <t>Scopes &amp; claims</t>
        </is>
      </c>
      <c r="C72" s="9" t="inlineStr">
        <is>
          <t>ID token claims</t>
        </is>
      </c>
      <c r="D72" s="10" t="inlineStr">
        <is>
          <t>Okta authorization server claims</t>
        </is>
      </c>
      <c r="E72" s="10" t="inlineStr">
        <is>
          <t>OpenID Connect policy</t>
        </is>
      </c>
      <c r="F72" s="10" t="inlineStr">
        <is>
          <t>Analysed next sprint</t>
        </is>
      </c>
      <c r="G72" s="9" t="inlineStr">
        <is>
          <t>UNKNOWN</t>
        </is>
      </c>
      <c r="H72" s="10" t="inlineStr">
        <is>
          <t>'</t>
        </is>
      </c>
    </row>
    <row r="73">
      <c r="A73" s="9" t="inlineStr">
        <is>
          <t>Mobile Expenses</t>
        </is>
      </c>
      <c r="B73" s="9" t="inlineStr">
        <is>
          <t>Scopes &amp; claims</t>
        </is>
      </c>
      <c r="C73" s="9" t="inlineStr">
        <is>
          <t>Access token claims</t>
        </is>
      </c>
      <c r="D73" s="10" t="inlineStr">
        <is>
          <t>Okta authorization server claims</t>
        </is>
      </c>
      <c r="E73" s="10" t="inlineStr">
        <is>
          <t>Access token mapping</t>
        </is>
      </c>
      <c r="F73" s="10" t="inlineStr">
        <is>
          <t>Analysed next sprint</t>
        </is>
      </c>
      <c r="G73" s="9" t="inlineStr">
        <is>
          <t>UNKNOWN</t>
        </is>
      </c>
      <c r="H73" s="10" t="inlineStr">
        <is>
          <t>'</t>
        </is>
      </c>
    </row>
    <row r="74">
      <c r="A74" s="9" t="inlineStr">
        <is>
          <t>Mobile Expenses</t>
        </is>
      </c>
      <c r="B74" s="9" t="inlineStr">
        <is>
          <t>Access control</t>
        </is>
      </c>
      <c r="C74" s="9" t="inlineStr">
        <is>
          <t>Assigned groups</t>
        </is>
      </c>
      <c r="D74" s="10" t="inlineStr">
        <is>
          <t>Finance</t>
        </is>
      </c>
      <c r="E74" s="10" t="inlineStr">
        <is>
          <t>Authentication policy / issuance criteria</t>
        </is>
      </c>
      <c r="F74" s="10" t="inlineStr">
        <is>
          <t>memberOf includes one of: Finance</t>
        </is>
      </c>
      <c r="G74" s="9" t="inlineStr">
        <is>
          <t>ACTION</t>
        </is>
      </c>
      <c r="H74" s="10" t="inlineStr">
        <is>
          <t>Without this, any user who can sign in gets tokens</t>
        </is>
      </c>
    </row>
    <row r="75">
      <c r="A75" s="9" t="inlineStr">
        <is>
          <t>Mobile Expenses</t>
        </is>
      </c>
      <c r="B75" s="9" t="inlineStr">
        <is>
          <t>Access control</t>
        </is>
      </c>
      <c r="C75" s="9" t="inlineStr">
        <is>
          <t>Okta-only groups</t>
        </is>
      </c>
      <c r="D75" s="10" t="inlineStr">
        <is>
          <t>Finance</t>
        </is>
      </c>
      <c r="E75" s="10" t="inlineStr">
        <is>
          <t>Directory groups</t>
        </is>
      </c>
      <c r="F75" s="10" t="inlineStr">
        <is>
          <t>Create and populate in the directory</t>
        </is>
      </c>
      <c r="G75" s="9" t="inlineStr">
        <is>
          <t>ACTION</t>
        </is>
      </c>
      <c r="H75" s="10" t="inlineStr">
        <is>
          <t>'</t>
        </is>
      </c>
    </row>
    <row r="76">
      <c r="A76" s="9" t="inlineStr">
        <is>
          <t>Reporting API</t>
        </is>
      </c>
      <c r="B76" s="9" t="inlineStr">
        <is>
          <t>OAuth client</t>
        </is>
      </c>
      <c r="C76" s="9" t="inlineStr">
        <is>
          <t>Client name</t>
        </is>
      </c>
      <c r="D76" s="10" t="inlineStr">
        <is>
          <t>Reporting API</t>
        </is>
      </c>
      <c r="E76" s="10" t="inlineStr">
        <is>
          <t>OAuth Client &gt; Name</t>
        </is>
      </c>
      <c r="F76" s="10" t="inlineStr">
        <is>
          <t>Reporting API</t>
        </is>
      </c>
      <c r="G76" s="9" t="inlineStr">
        <is>
          <t>CONFIGURE</t>
        </is>
      </c>
      <c r="H76" s="10" t="inlineStr">
        <is>
          <t>'</t>
        </is>
      </c>
    </row>
    <row r="77">
      <c r="A77" s="9" t="inlineStr">
        <is>
          <t>Reporting API</t>
        </is>
      </c>
      <c r="B77" s="9" t="inlineStr">
        <is>
          <t>OAuth client</t>
        </is>
      </c>
      <c r="C77" s="9" t="inlineStr">
        <is>
          <t>Client ID</t>
        </is>
      </c>
      <c r="D77" s="10" t="inlineStr">
        <is>
          <t>0oa9ReportingSvc0009</t>
        </is>
      </c>
      <c r="E77" s="10" t="inlineStr">
        <is>
          <t>OAuth Client &gt; Client ID</t>
        </is>
      </c>
      <c r="F77" s="10" t="inlineStr">
        <is>
          <t>0oa9ReportingSvc0009</t>
        </is>
      </c>
      <c r="G77" s="9" t="inlineStr">
        <is>
          <t>SAME</t>
        </is>
      </c>
      <c r="H77" s="10" t="inlineStr">
        <is>
          <t>PingFederate lets you keep the same client ID, so the app config for it does not change</t>
        </is>
      </c>
    </row>
    <row r="78">
      <c r="A78" s="9" t="inlineStr">
        <is>
          <t>Reporting API</t>
        </is>
      </c>
      <c r="B78" s="9" t="inlineStr">
        <is>
          <t>OAuth client</t>
        </is>
      </c>
      <c r="C78" s="9" t="inlineStr">
        <is>
          <t>Application type</t>
        </is>
      </c>
      <c r="D78" s="10" t="inlineStr">
        <is>
          <t>service</t>
        </is>
      </c>
      <c r="E78" s="10" t="inlineStr">
        <is>
          <t>Client type (derived)</t>
        </is>
      </c>
      <c r="F78" s="10" t="inlineStr">
        <is>
          <t>Confidential client (machine-to-machine)</t>
        </is>
      </c>
      <c r="G78" s="9" t="inlineStr">
        <is>
          <t>CONFIGURE</t>
        </is>
      </c>
      <c r="H78" s="10" t="inlineStr">
        <is>
          <t>'</t>
        </is>
      </c>
    </row>
    <row r="79">
      <c r="A79" s="9" t="inlineStr">
        <is>
          <t>Reporting API</t>
        </is>
      </c>
      <c r="B79" s="9" t="inlineStr">
        <is>
          <t>OAuth client</t>
        </is>
      </c>
      <c r="C79" s="9" t="inlineStr">
        <is>
          <t>Client authentication</t>
        </is>
      </c>
      <c r="D79" s="10" t="inlineStr">
        <is>
          <t>private_key_jwt</t>
        </is>
      </c>
      <c r="E79" s="10" t="inlineStr">
        <is>
          <t>Client Authentication</t>
        </is>
      </c>
      <c r="F79" s="10" t="inlineStr">
        <is>
          <t>Private Key JWT (import the client's JWKS)</t>
        </is>
      </c>
      <c r="G79" s="9" t="inlineStr">
        <is>
          <t>CONFIGURE</t>
        </is>
      </c>
      <c r="H79" s="10" t="inlineStr">
        <is>
          <t>No secret changes</t>
        </is>
      </c>
    </row>
    <row r="80">
      <c r="A80" s="9" t="inlineStr">
        <is>
          <t>Reporting API</t>
        </is>
      </c>
      <c r="B80" s="9" t="inlineStr">
        <is>
          <t>OAuth client</t>
        </is>
      </c>
      <c r="C80" s="9" t="inlineStr">
        <is>
          <t>Okta app status</t>
        </is>
      </c>
      <c r="D80" s="10" t="inlineStr">
        <is>
          <t>ACTIVE</t>
        </is>
      </c>
      <c r="E80" s="10" t="inlineStr">
        <is>
          <t>Client status</t>
        </is>
      </c>
      <c r="F80" s="10" t="inlineStr">
        <is>
          <t>Enabled</t>
        </is>
      </c>
      <c r="G80" s="9" t="inlineStr">
        <is>
          <t>SAME</t>
        </is>
      </c>
      <c r="H80" s="10" t="inlineStr">
        <is>
          <t>'</t>
        </is>
      </c>
    </row>
    <row r="81">
      <c r="A81" s="9" t="inlineStr">
        <is>
          <t>Reporting API</t>
        </is>
      </c>
      <c r="B81" s="9" t="inlineStr">
        <is>
          <t>OAuth client</t>
        </is>
      </c>
      <c r="C81" s="9" t="inlineStr">
        <is>
          <t>Consent</t>
        </is>
      </c>
      <c r="D81" s="10" t="inlineStr">
        <is>
          <t>TRUSTED</t>
        </is>
      </c>
      <c r="E81" s="10" t="inlineStr">
        <is>
          <t>Bypass Authorization Approval</t>
        </is>
      </c>
      <c r="F81" s="10" t="inlineStr">
        <is>
          <t>Bypass (trusted)</t>
        </is>
      </c>
      <c r="G81" s="9" t="inlineStr">
        <is>
          <t>SAME</t>
        </is>
      </c>
      <c r="H81" s="10" t="inlineStr">
        <is>
          <t>'</t>
        </is>
      </c>
    </row>
    <row r="82">
      <c r="A82" s="9" t="inlineStr">
        <is>
          <t>Reporting API</t>
        </is>
      </c>
      <c r="B82" s="9" t="inlineStr">
        <is>
          <t>Redirects</t>
        </is>
      </c>
      <c r="C82" s="9" t="inlineStr">
        <is>
          <t>Redirect URIs</t>
        </is>
      </c>
      <c r="D82" s="10" t="inlineStr">
        <is>
          <t>—</t>
        </is>
      </c>
      <c r="E82" s="10" t="inlineStr">
        <is>
          <t>Redirect URIs</t>
        </is>
      </c>
      <c r="F82" s="10" t="inlineStr">
        <is>
          <t>—</t>
        </is>
      </c>
      <c r="G82" s="9" t="inlineStr">
        <is>
          <t>N/A</t>
        </is>
      </c>
      <c r="H82" s="10" t="inlineStr">
        <is>
          <t>'</t>
        </is>
      </c>
    </row>
    <row r="83">
      <c r="A83" s="9" t="inlineStr">
        <is>
          <t>Reporting API</t>
        </is>
      </c>
      <c r="B83" s="9" t="inlineStr">
        <is>
          <t>Grants &amp; tokens</t>
        </is>
      </c>
      <c r="C83" s="9" t="inlineStr">
        <is>
          <t>Grant: client_credentials</t>
        </is>
      </c>
      <c r="D83" s="10" t="inlineStr">
        <is>
          <t>client_credentials</t>
        </is>
      </c>
      <c r="E83" s="10" t="inlineStr">
        <is>
          <t>Allowed Grant Types</t>
        </is>
      </c>
      <c r="F83" s="10" t="inlineStr">
        <is>
          <t>Client Credentials</t>
        </is>
      </c>
      <c r="G83" s="9" t="inlineStr">
        <is>
          <t>SAME</t>
        </is>
      </c>
      <c r="H83" s="10" t="inlineStr">
        <is>
          <t>'</t>
        </is>
      </c>
    </row>
    <row r="84">
      <c r="A84" s="9" t="inlineStr">
        <is>
          <t>Reporting API</t>
        </is>
      </c>
      <c r="B84" s="9" t="inlineStr">
        <is>
          <t>Grants &amp; tokens</t>
        </is>
      </c>
      <c r="C84" s="9" t="inlineStr">
        <is>
          <t>Response types</t>
        </is>
      </c>
      <c r="D84" s="10" t="inlineStr">
        <is>
          <t>token</t>
        </is>
      </c>
      <c r="E84" s="10" t="inlineStr">
        <is>
          <t>Restrict Response Types</t>
        </is>
      </c>
      <c r="F84" s="10" t="inlineStr">
        <is>
          <t>token</t>
        </is>
      </c>
      <c r="G84" s="9" t="inlineStr">
        <is>
          <t>CONFIGURE</t>
        </is>
      </c>
      <c r="H84" s="10" t="inlineStr">
        <is>
          <t>'</t>
        </is>
      </c>
    </row>
    <row r="85">
      <c r="A85" s="9" t="inlineStr">
        <is>
          <t>Reporting API</t>
        </is>
      </c>
      <c r="B85" s="9" t="inlineStr">
        <is>
          <t>Grants &amp; tokens</t>
        </is>
      </c>
      <c r="C85" s="9" t="inlineStr">
        <is>
          <t>Access token format / lifetime</t>
        </is>
      </c>
      <c r="D85" s="10" t="inlineStr">
        <is>
          <t>Set on the Okta authorization server</t>
        </is>
      </c>
      <c r="E85" s="10" t="inlineStr">
        <is>
          <t>Access Token Manager</t>
        </is>
      </c>
      <c r="F85" s="10" t="inlineStr">
        <is>
          <t>To be defined (next sprint)</t>
        </is>
      </c>
      <c r="G85" s="9" t="inlineStr">
        <is>
          <t>UNKNOWN</t>
        </is>
      </c>
      <c r="H85" s="10" t="inlineStr">
        <is>
          <t>'</t>
        </is>
      </c>
    </row>
    <row r="86">
      <c r="A86" s="9" t="inlineStr">
        <is>
          <t>Reporting API</t>
        </is>
      </c>
      <c r="B86" s="9" t="inlineStr">
        <is>
          <t>Endpoints</t>
        </is>
      </c>
      <c r="C86" s="9" t="inlineStr">
        <is>
          <t>Issuer</t>
        </is>
      </c>
      <c r="D86" s="10" t="inlineStr">
        <is>
          <t>https://&lt;okta-org&gt;/oauth2/&lt;auth-server&gt;</t>
        </is>
      </c>
      <c r="E86" s="10" t="inlineStr">
        <is>
          <t>PingFederate runtime</t>
        </is>
      </c>
      <c r="F86" s="10" t="inlineStr">
        <is>
          <t>https://sso.example.com</t>
        </is>
      </c>
      <c r="G86" s="9" t="inlineStr">
        <is>
          <t>SP_UPDATE</t>
        </is>
      </c>
      <c r="H86" s="10" t="inlineStr">
        <is>
          <t>Apps using the discovery document pick the rest up automatically</t>
        </is>
      </c>
    </row>
    <row r="87">
      <c r="A87" s="9" t="inlineStr">
        <is>
          <t>Reporting API</t>
        </is>
      </c>
      <c r="B87" s="9" t="inlineStr">
        <is>
          <t>Endpoints</t>
        </is>
      </c>
      <c r="C87" s="9" t="inlineStr">
        <is>
          <t>Discovery document</t>
        </is>
      </c>
      <c r="D87" s="10" t="inlineStr">
        <is>
          <t>https://&lt;okta-org&gt;/oauth2/&lt;auth-server&gt;/.well-known/openid-configuration</t>
        </is>
      </c>
      <c r="E87" s="10" t="inlineStr">
        <is>
          <t>PingFederate runtime</t>
        </is>
      </c>
      <c r="F87" s="10" t="inlineStr">
        <is>
          <t>https://sso.example.com/.well-known/openid-configuration</t>
        </is>
      </c>
      <c r="G87" s="9" t="inlineStr">
        <is>
          <t>SP_UPDATE</t>
        </is>
      </c>
      <c r="H87" s="10" t="inlineStr">
        <is>
          <t>'</t>
        </is>
      </c>
    </row>
    <row r="88">
      <c r="A88" s="9" t="inlineStr">
        <is>
          <t>Reporting API</t>
        </is>
      </c>
      <c r="B88" s="9" t="inlineStr">
        <is>
          <t>Endpoints</t>
        </is>
      </c>
      <c r="C88" s="9" t="inlineStr">
        <is>
          <t>Token endpoint</t>
        </is>
      </c>
      <c r="D88" s="10" t="inlineStr">
        <is>
          <t>https://&lt;okta-org&gt;/oauth2/&lt;auth-server&gt;/v1/token</t>
        </is>
      </c>
      <c r="E88" s="10" t="inlineStr">
        <is>
          <t>PingFederate runtime</t>
        </is>
      </c>
      <c r="F88" s="10" t="inlineStr">
        <is>
          <t>https://sso.example.com/as/token.oauth2</t>
        </is>
      </c>
      <c r="G88" s="9" t="inlineStr">
        <is>
          <t>SP_UPDATE</t>
        </is>
      </c>
      <c r="H88" s="10" t="inlineStr">
        <is>
          <t>'</t>
        </is>
      </c>
    </row>
    <row r="89">
      <c r="A89" s="9" t="inlineStr">
        <is>
          <t>Reporting API</t>
        </is>
      </c>
      <c r="B89" s="9" t="inlineStr">
        <is>
          <t>Endpoints</t>
        </is>
      </c>
      <c r="C89" s="9" t="inlineStr">
        <is>
          <t>JWKS (signing keys)</t>
        </is>
      </c>
      <c r="D89" s="10" t="inlineStr">
        <is>
          <t>https://&lt;okta-org&gt;/oauth2/&lt;auth-server&gt;/v1/keys</t>
        </is>
      </c>
      <c r="E89" s="10" t="inlineStr">
        <is>
          <t>PingFederate runtime</t>
        </is>
      </c>
      <c r="F89" s="10" t="inlineStr">
        <is>
          <t>https://sso.example.com/pf/JWKS</t>
        </is>
      </c>
      <c r="G89" s="9" t="inlineStr">
        <is>
          <t>SP_UPDATE</t>
        </is>
      </c>
      <c r="H89" s="10" t="inlineStr">
        <is>
          <t>'</t>
        </is>
      </c>
    </row>
    <row r="90">
      <c r="A90" s="9" t="inlineStr">
        <is>
          <t>Reporting API</t>
        </is>
      </c>
      <c r="B90" s="9" t="inlineStr">
        <is>
          <t>Scopes &amp; claims</t>
        </is>
      </c>
      <c r="C90" s="9" t="inlineStr">
        <is>
          <t>Scopes</t>
        </is>
      </c>
      <c r="D90" s="10" t="inlineStr">
        <is>
          <t>Granted by the Okta authorization server policy</t>
        </is>
      </c>
      <c r="E90" s="10" t="inlineStr">
        <is>
          <t>OAuth scopes / scope groups</t>
        </is>
      </c>
      <c r="F90" s="10" t="inlineStr">
        <is>
          <t>Analysed next sprint</t>
        </is>
      </c>
      <c r="G90" s="9" t="inlineStr">
        <is>
          <t>UNKNOWN</t>
        </is>
      </c>
      <c r="H90" s="10" t="inlineStr">
        <is>
          <t>'</t>
        </is>
      </c>
    </row>
    <row r="91">
      <c r="A91" s="9" t="inlineStr">
        <is>
          <t>Reporting API</t>
        </is>
      </c>
      <c r="B91" s="9" t="inlineStr">
        <is>
          <t>Scopes &amp; claims</t>
        </is>
      </c>
      <c r="C91" s="9" t="inlineStr">
        <is>
          <t>Access token claims</t>
        </is>
      </c>
      <c r="D91" s="10" t="inlineStr">
        <is>
          <t>Okta authorization server claims</t>
        </is>
      </c>
      <c r="E91" s="10" t="inlineStr">
        <is>
          <t>Access token mapping</t>
        </is>
      </c>
      <c r="F91" s="10" t="inlineStr">
        <is>
          <t>Analysed next sprint</t>
        </is>
      </c>
      <c r="G91" s="9" t="inlineStr">
        <is>
          <t>UNKNOWN</t>
        </is>
      </c>
      <c r="H91" s="10" t="inlineStr">
        <is>
          <t>'</t>
        </is>
      </c>
    </row>
    <row r="92">
      <c r="A92" s="9" t="inlineStr">
        <is>
          <t>Reporting API</t>
        </is>
      </c>
      <c r="B92" s="9" t="inlineStr">
        <is>
          <t>Access control</t>
        </is>
      </c>
      <c r="C92" s="9" t="inlineStr">
        <is>
          <t>Who can use it</t>
        </is>
      </c>
      <c r="D92" s="10" t="inlineStr">
        <is>
          <t>Machine client (no users)</t>
        </is>
      </c>
      <c r="E92" s="10" t="inlineStr">
        <is>
          <t>Client credentials only</t>
        </is>
      </c>
      <c r="F92" s="10" t="inlineStr">
        <is>
          <t>Restrict by client and scopes</t>
        </is>
      </c>
      <c r="G92" s="9" t="inlineStr">
        <is>
          <t>CONFIGURE</t>
        </is>
      </c>
      <c r="H92" s="10" t="inlineStr">
        <is>
          <t>'</t>
        </is>
      </c>
    </row>
  </sheetData>
  <autoFilter ref="A1:H92"/>
  <conditionalFormatting sqref="G2:G92">
    <cfRule type="expression" priority="1" dxfId="2">
      <formula>$G2="ACTION"</formula>
    </cfRule>
    <cfRule type="expression" priority="2" dxfId="1">
      <formula>$G2="UNKNOWN"</formula>
    </cfRule>
    <cfRule type="expression" priority="3" dxfId="4">
      <formula>$G2="SP_UPDATE"</formula>
    </cfRule>
    <cfRule type="expression" priority="4" dxfId="5">
      <formula>$G2="CONFIGURE"</formula>
    </cfRule>
    <cfRule type="expression" priority="5" dxfId="0">
      <formula>$G2="SAME"</formula>
    </cfRule>
    <cfRule type="expression" priority="6" dxfId="6">
      <formula>$G2="N/A"</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6"/>
  <sheetViews>
    <sheetView showGridLines="1" workbookViewId="0">
      <pane ySplit="1" topLeftCell="A2" activePane="bottomLeft" state="frozen"/>
      <selection pane="bottomLeft" activeCell="A1" sqref="A1"/>
    </sheetView>
  </sheetViews>
  <sheetFormatPr baseColWidth="8" defaultRowHeight="15"/>
  <cols>
    <col width="30" customWidth="1" min="1" max="1"/>
    <col width="9" customWidth="1" min="2" max="2"/>
    <col width="30" customWidth="1" min="3" max="3"/>
    <col width="12" customWidth="1" min="4" max="4"/>
    <col width="30" customWidth="1" min="5" max="5"/>
    <col width="44" customWidth="1" min="6" max="6"/>
    <col width="44" customWidth="1" min="7" max="7"/>
    <col width="12" customWidth="1" min="8" max="8"/>
  </cols>
  <sheetData>
    <row r="1" ht="30" customHeight="1">
      <c r="A1" s="8" t="inlineStr">
        <is>
          <t>Okta app</t>
        </is>
      </c>
      <c r="B1" s="8" t="inlineStr">
        <is>
          <t>Protocol</t>
        </is>
      </c>
      <c r="C1" s="8" t="inlineStr">
        <is>
          <t>PingFederate object</t>
        </is>
      </c>
      <c r="D1" s="8" t="inlineStr">
        <is>
          <t>Matched by</t>
        </is>
      </c>
      <c r="E1" s="8" t="inlineStr">
        <is>
          <t>Check</t>
        </is>
      </c>
      <c r="F1" s="8" t="inlineStr">
        <is>
          <t>Expected (Okta)</t>
        </is>
      </c>
      <c r="G1" s="8" t="inlineStr">
        <is>
          <t>Actual (PingFederate)</t>
        </is>
      </c>
      <c r="H1" s="8" t="inlineStr">
        <is>
          <t>Result</t>
        </is>
      </c>
    </row>
    <row r="2">
      <c r="A2" s="9" t="inlineStr">
        <is>
          <t>Employee Portal</t>
        </is>
      </c>
      <c r="B2" s="9" t="inlineStr">
        <is>
          <t>OIDC</t>
        </is>
      </c>
      <c r="C2" s="9" t="inlineStr">
        <is>
          <t>Employee Portal</t>
        </is>
      </c>
      <c r="D2" s="9" t="inlineStr">
        <is>
          <t>client ID</t>
        </is>
      </c>
      <c r="E2" s="9" t="inlineStr">
        <is>
          <t>Redirect URIs</t>
        </is>
      </c>
      <c r="F2" s="10" t="inlineStr">
        <is>
          <t>https://portal.northwind.example/callback, https://portal.northwind.example/silent-renew</t>
        </is>
      </c>
      <c r="G2" s="10" t="inlineStr">
        <is>
          <t>https://portal.northwind.example/callback</t>
        </is>
      </c>
      <c r="H2" s="9" t="inlineStr">
        <is>
          <t>DIFFERS</t>
        </is>
      </c>
    </row>
    <row r="3">
      <c r="A3" s="9" t="inlineStr">
        <is>
          <t>Employee Portal</t>
        </is>
      </c>
      <c r="B3" s="9" t="inlineStr">
        <is>
          <t>OIDC</t>
        </is>
      </c>
      <c r="C3" s="9" t="inlineStr">
        <is>
          <t>Employee Portal</t>
        </is>
      </c>
      <c r="D3" s="9" t="inlineStr">
        <is>
          <t>client ID</t>
        </is>
      </c>
      <c r="E3" s="9" t="inlineStr">
        <is>
          <t>Grant types</t>
        </is>
      </c>
      <c r="F3" s="10" t="inlineStr">
        <is>
          <t>authorization_code, refresh_token</t>
        </is>
      </c>
      <c r="G3" s="10" t="inlineStr">
        <is>
          <t>authorization_code, refresh_token</t>
        </is>
      </c>
      <c r="H3" s="9" t="inlineStr">
        <is>
          <t>OK</t>
        </is>
      </c>
    </row>
    <row r="4">
      <c r="A4" s="9" t="inlineStr">
        <is>
          <t>Employee Portal</t>
        </is>
      </c>
      <c r="B4" s="9" t="inlineStr">
        <is>
          <t>OIDC</t>
        </is>
      </c>
      <c r="C4" s="9" t="inlineStr">
        <is>
          <t>Employee Portal</t>
        </is>
      </c>
      <c r="D4" s="9" t="inlineStr">
        <is>
          <t>client ID</t>
        </is>
      </c>
      <c r="E4" s="9" t="inlineStr">
        <is>
          <t>Client authentication</t>
        </is>
      </c>
      <c r="F4" s="10" t="inlineStr">
        <is>
          <t>client_secret</t>
        </is>
      </c>
      <c r="G4" s="10" t="inlineStr">
        <is>
          <t>client_secret</t>
        </is>
      </c>
      <c r="H4" s="9" t="inlineStr">
        <is>
          <t>OK</t>
        </is>
      </c>
    </row>
    <row r="5">
      <c r="A5" s="9" t="inlineStr">
        <is>
          <t>Employee Portal</t>
        </is>
      </c>
      <c r="B5" s="9" t="inlineStr">
        <is>
          <t>OIDC</t>
        </is>
      </c>
      <c r="C5" s="9" t="inlineStr">
        <is>
          <t>Employee Portal</t>
        </is>
      </c>
      <c r="D5" s="9" t="inlineStr">
        <is>
          <t>client ID</t>
        </is>
      </c>
      <c r="E5" s="9" t="inlineStr">
        <is>
          <t>Access control</t>
        </is>
      </c>
      <c r="F5" s="10" t="inlineStr">
        <is>
          <t>Authentication policy / issuance criteria</t>
        </is>
      </c>
      <c r="G5" s="10" t="inlineStr">
        <is>
          <t>Verify in PingFederate policies (not on the client)</t>
        </is>
      </c>
      <c r="H5" s="9" t="inlineStr">
        <is>
          <t>OK</t>
        </is>
      </c>
    </row>
    <row r="6">
      <c r="A6" s="9" t="inlineStr">
        <is>
          <t>Engineering Wiki (Confluence DC)</t>
        </is>
      </c>
      <c r="B6" s="9" t="inlineStr">
        <is>
          <t>SAML</t>
        </is>
      </c>
      <c r="C6" s="9" t="inlineStr">
        <is>
          <t>Engineering Wiki (Confluence DC)</t>
        </is>
      </c>
      <c r="D6" s="9" t="inlineStr">
        <is>
          <t>entity ID</t>
        </is>
      </c>
      <c r="E6" s="9" t="inlineStr">
        <is>
          <t>ACS URLs</t>
        </is>
      </c>
      <c r="F6" s="10" t="inlineStr">
        <is>
          <t>https://wiki-dr.northwind.example/plugins/servlet/samlconsumer, https://wiki.northwind.example/plugins/servlet/samlconsumer</t>
        </is>
      </c>
      <c r="G6" s="10" t="inlineStr">
        <is>
          <t>https://wiki.northwind.example/plugins/servlet/samlconsumer</t>
        </is>
      </c>
      <c r="H6" s="9" t="inlineStr">
        <is>
          <t>DIFFERS</t>
        </is>
      </c>
    </row>
    <row r="7">
      <c r="A7" s="9" t="inlineStr">
        <is>
          <t>Engineering Wiki (Confluence DC)</t>
        </is>
      </c>
      <c r="B7" s="9" t="inlineStr">
        <is>
          <t>SAML</t>
        </is>
      </c>
      <c r="C7" s="9" t="inlineStr">
        <is>
          <t>Engineering Wiki (Confluence DC)</t>
        </is>
      </c>
      <c r="D7" s="9" t="inlineStr">
        <is>
          <t>entity ID</t>
        </is>
      </c>
      <c r="E7" s="9" t="inlineStr">
        <is>
          <t>Attribute contract</t>
        </is>
      </c>
      <c r="F7" s="10" t="inlineStr">
        <is>
          <t>SAML_SUBJECT, email, fullName, groups, wikiRole</t>
        </is>
      </c>
      <c r="G7" s="10" t="inlineStr">
        <is>
          <t>SAML_SUBJECT, email, fullName, groups (missing: wikiRole)</t>
        </is>
      </c>
      <c r="H7" s="9" t="inlineStr">
        <is>
          <t>DIFFERS</t>
        </is>
      </c>
    </row>
    <row r="8">
      <c r="A8" s="9" t="inlineStr">
        <is>
          <t>Engineering Wiki (Confluence DC)</t>
        </is>
      </c>
      <c r="B8" s="9" t="inlineStr">
        <is>
          <t>SAML</t>
        </is>
      </c>
      <c r="C8" s="9" t="inlineStr">
        <is>
          <t>Engineering Wiki (Confluence DC)</t>
        </is>
      </c>
      <c r="D8" s="9" t="inlineStr">
        <is>
          <t>entity ID</t>
        </is>
      </c>
      <c r="E8" s="9" t="inlineStr">
        <is>
          <t>Sign assertion</t>
        </is>
      </c>
      <c r="F8" s="10" t="inlineStr">
        <is>
          <t>Yes</t>
        </is>
      </c>
      <c r="G8" s="10" t="inlineStr">
        <is>
          <t>Yes</t>
        </is>
      </c>
      <c r="H8" s="9" t="inlineStr">
        <is>
          <t>OK</t>
        </is>
      </c>
    </row>
    <row r="9">
      <c r="A9" s="9" t="inlineStr">
        <is>
          <t>Engineering Wiki (Confluence DC)</t>
        </is>
      </c>
      <c r="B9" s="9" t="inlineStr">
        <is>
          <t>SAML</t>
        </is>
      </c>
      <c r="C9" s="9" t="inlineStr">
        <is>
          <t>Engineering Wiki (Confluence DC)</t>
        </is>
      </c>
      <c r="D9" s="9" t="inlineStr">
        <is>
          <t>entity ID</t>
        </is>
      </c>
      <c r="E9" s="9" t="inlineStr">
        <is>
          <t>Virtual server ID</t>
        </is>
      </c>
      <c r="F9" s="10" t="inlineStr">
        <is>
          <t>https://sso.northwind.example/wiki</t>
        </is>
      </c>
      <c r="G9" s="10" t="inlineStr">
        <is>
          <t>—</t>
        </is>
      </c>
      <c r="H9" s="9" t="inlineStr">
        <is>
          <t>DIFFERS</t>
        </is>
      </c>
    </row>
    <row r="10">
      <c r="A10" s="9" t="inlineStr">
        <is>
          <t>Engineering Wiki (Confluence DC)</t>
        </is>
      </c>
      <c r="B10" s="9" t="inlineStr">
        <is>
          <t>SAML</t>
        </is>
      </c>
      <c r="C10" s="9" t="inlineStr">
        <is>
          <t>Engineering Wiki (Confluence DC)</t>
        </is>
      </c>
      <c r="D10" s="9" t="inlineStr">
        <is>
          <t>entity ID</t>
        </is>
      </c>
      <c r="E10" s="9" t="inlineStr">
        <is>
          <t>Issuance criteria (access control)</t>
        </is>
      </c>
      <c r="F10" s="10" t="inlineStr">
        <is>
          <t>Required</t>
        </is>
      </c>
      <c r="G10" s="10" t="inlineStr">
        <is>
          <t>None</t>
        </is>
      </c>
      <c r="H10" s="9" t="inlineStr">
        <is>
          <t>DIFFERS</t>
        </is>
      </c>
    </row>
    <row r="11">
      <c r="A11" s="9" t="inlineStr">
        <is>
          <t>Engineering Wiki (Confluence DC)</t>
        </is>
      </c>
      <c r="B11" s="9" t="inlineStr">
        <is>
          <t>SAML</t>
        </is>
      </c>
      <c r="C11" s="9" t="inlineStr">
        <is>
          <t>Engineering Wiki (Confluence DC)</t>
        </is>
      </c>
      <c r="D11" s="9" t="inlineStr">
        <is>
          <t>entity ID</t>
        </is>
      </c>
      <c r="E11" s="9" t="inlineStr">
        <is>
          <t>Single logout</t>
        </is>
      </c>
      <c r="F11" s="10" t="inlineStr">
        <is>
          <t>https://wiki.northwind.example/plugins/servlet/samlslo</t>
        </is>
      </c>
      <c r="G11" s="10" t="inlineStr">
        <is>
          <t>—</t>
        </is>
      </c>
      <c r="H11" s="9" t="inlineStr">
        <is>
          <t>DIFFERS</t>
        </is>
      </c>
    </row>
    <row r="12">
      <c r="A12" s="9" t="inlineStr">
        <is>
          <t>Expense Portal</t>
        </is>
      </c>
      <c r="B12" s="9" t="inlineStr">
        <is>
          <t>SAML</t>
        </is>
      </c>
      <c r="C12" s="9" t="inlineStr">
        <is>
          <t>Expense Portal</t>
        </is>
      </c>
      <c r="D12" s="9" t="inlineStr">
        <is>
          <t>entity ID</t>
        </is>
      </c>
      <c r="E12" s="9" t="inlineStr">
        <is>
          <t>ACS URLs</t>
        </is>
      </c>
      <c r="F12" s="10" t="inlineStr">
        <is>
          <t>https://expenses.northwind.example/saml/acs</t>
        </is>
      </c>
      <c r="G12" s="10" t="inlineStr">
        <is>
          <t>https://expenses.northwind.example/saml/acs</t>
        </is>
      </c>
      <c r="H12" s="9" t="inlineStr">
        <is>
          <t>OK</t>
        </is>
      </c>
    </row>
    <row r="13">
      <c r="A13" s="9" t="inlineStr">
        <is>
          <t>Expense Portal</t>
        </is>
      </c>
      <c r="B13" s="9" t="inlineStr">
        <is>
          <t>SAML</t>
        </is>
      </c>
      <c r="C13" s="9" t="inlineStr">
        <is>
          <t>Expense Portal</t>
        </is>
      </c>
      <c r="D13" s="9" t="inlineStr">
        <is>
          <t>entity ID</t>
        </is>
      </c>
      <c r="E13" s="9" t="inlineStr">
        <is>
          <t>Attribute contract</t>
        </is>
      </c>
      <c r="F13" s="10" t="inlineStr">
        <is>
          <t>SAML_SUBJECT, email</t>
        </is>
      </c>
      <c r="G13" s="10" t="inlineStr">
        <is>
          <t>SAML_SUBJECT, email</t>
        </is>
      </c>
      <c r="H13" s="9" t="inlineStr">
        <is>
          <t>OK</t>
        </is>
      </c>
    </row>
    <row r="14">
      <c r="A14" s="9" t="inlineStr">
        <is>
          <t>Expense Portal</t>
        </is>
      </c>
      <c r="B14" s="9" t="inlineStr">
        <is>
          <t>SAML</t>
        </is>
      </c>
      <c r="C14" s="9" t="inlineStr">
        <is>
          <t>Expense Portal</t>
        </is>
      </c>
      <c r="D14" s="9" t="inlineStr">
        <is>
          <t>entity ID</t>
        </is>
      </c>
      <c r="E14" s="9" t="inlineStr">
        <is>
          <t>Sign assertion</t>
        </is>
      </c>
      <c r="F14" s="10" t="inlineStr">
        <is>
          <t>Yes</t>
        </is>
      </c>
      <c r="G14" s="10" t="inlineStr">
        <is>
          <t>Yes</t>
        </is>
      </c>
      <c r="H14" s="9" t="inlineStr">
        <is>
          <t>OK</t>
        </is>
      </c>
    </row>
    <row r="15">
      <c r="A15" s="9" t="inlineStr">
        <is>
          <t>Expense Portal</t>
        </is>
      </c>
      <c r="B15" s="9" t="inlineStr">
        <is>
          <t>SAML</t>
        </is>
      </c>
      <c r="C15" s="9" t="inlineStr">
        <is>
          <t>Expense Portal</t>
        </is>
      </c>
      <c r="D15" s="9" t="inlineStr">
        <is>
          <t>entity ID</t>
        </is>
      </c>
      <c r="E15" s="9" t="inlineStr">
        <is>
          <t>Issuance criteria (access control)</t>
        </is>
      </c>
      <c r="F15" s="10" t="inlineStr">
        <is>
          <t>Required</t>
        </is>
      </c>
      <c r="G15" s="10" t="inlineStr">
        <is>
          <t>Present</t>
        </is>
      </c>
      <c r="H15" s="9" t="inlineStr">
        <is>
          <t>OK</t>
        </is>
      </c>
    </row>
    <row r="16">
      <c r="A16" s="9" t="inlineStr">
        <is>
          <t>Expense Portal (UAT)</t>
        </is>
      </c>
      <c r="B16" s="9" t="inlineStr">
        <is>
          <t>SAML</t>
        </is>
      </c>
      <c r="C16" s="9" t="inlineStr">
        <is>
          <t>Expense Portal</t>
        </is>
      </c>
      <c r="D16" s="9" t="inlineStr">
        <is>
          <t>entity ID</t>
        </is>
      </c>
      <c r="E16" s="9" t="inlineStr">
        <is>
          <t>Own SP connection</t>
        </is>
      </c>
      <c r="F16" s="10" t="inlineStr">
        <is>
          <t>A separate connection for this app</t>
        </is>
      </c>
      <c r="G16" s="10" t="inlineStr">
        <is>
          <t>Already used by Expense Portal</t>
        </is>
      </c>
      <c r="H16" s="9" t="inlineStr">
        <is>
          <t>DIFFERS</t>
        </is>
      </c>
    </row>
    <row r="17">
      <c r="A17" s="9" t="inlineStr">
        <is>
          <t>HR Analytics (Tableau)</t>
        </is>
      </c>
      <c r="B17" s="9" t="inlineStr">
        <is>
          <t>SAML</t>
        </is>
      </c>
      <c r="C17" s="9" t="inlineStr">
        <is>
          <t>'</t>
        </is>
      </c>
      <c r="D17" s="9" t="inlineStr">
        <is>
          <t>'</t>
        </is>
      </c>
      <c r="E17" s="9" t="inlineStr">
        <is>
          <t>Exists on PingFederate</t>
        </is>
      </c>
      <c r="F17" s="10" t="inlineStr">
        <is>
          <t>Yes</t>
        </is>
      </c>
      <c r="G17" s="10" t="inlineStr">
        <is>
          <t>Not found</t>
        </is>
      </c>
      <c r="H17" s="9" t="inlineStr">
        <is>
          <t>NOT BUILT</t>
        </is>
      </c>
    </row>
    <row r="18">
      <c r="A18" s="9" t="inlineStr">
        <is>
          <t>Legacy Intranet SPA</t>
        </is>
      </c>
      <c r="B18" s="9" t="inlineStr">
        <is>
          <t>OIDC</t>
        </is>
      </c>
      <c r="C18" s="9" t="inlineStr">
        <is>
          <t>'</t>
        </is>
      </c>
      <c r="D18" s="9" t="inlineStr">
        <is>
          <t>'</t>
        </is>
      </c>
      <c r="E18" s="9" t="inlineStr">
        <is>
          <t>Exists on PingFederate</t>
        </is>
      </c>
      <c r="F18" s="10" t="inlineStr">
        <is>
          <t>Yes</t>
        </is>
      </c>
      <c r="G18" s="10" t="inlineStr">
        <is>
          <t>Not found</t>
        </is>
      </c>
      <c r="H18" s="9" t="inlineStr">
        <is>
          <t>NOT BUILT</t>
        </is>
      </c>
    </row>
    <row r="19">
      <c r="A19" s="9" t="inlineStr">
        <is>
          <t>Legacy Travel Booking</t>
        </is>
      </c>
      <c r="B19" s="9" t="inlineStr">
        <is>
          <t>SAML</t>
        </is>
      </c>
      <c r="C19" s="9" t="inlineStr">
        <is>
          <t>'</t>
        </is>
      </c>
      <c r="D19" s="9" t="inlineStr">
        <is>
          <t>'</t>
        </is>
      </c>
      <c r="E19" s="9" t="inlineStr">
        <is>
          <t>Exists on PingFederate</t>
        </is>
      </c>
      <c r="F19" s="10" t="inlineStr">
        <is>
          <t>Yes</t>
        </is>
      </c>
      <c r="G19" s="10" t="inlineStr">
        <is>
          <t>Not found</t>
        </is>
      </c>
      <c r="H19" s="9" t="inlineStr">
        <is>
          <t>NOT BUILT</t>
        </is>
      </c>
    </row>
    <row r="20">
      <c r="A20" s="9" t="inlineStr">
        <is>
          <t>Mobile Expenses</t>
        </is>
      </c>
      <c r="B20" s="9" t="inlineStr">
        <is>
          <t>OIDC</t>
        </is>
      </c>
      <c r="C20" s="9" t="inlineStr">
        <is>
          <t>'</t>
        </is>
      </c>
      <c r="D20" s="9" t="inlineStr">
        <is>
          <t>'</t>
        </is>
      </c>
      <c r="E20" s="9" t="inlineStr">
        <is>
          <t>Exists on PingFederate</t>
        </is>
      </c>
      <c r="F20" s="10" t="inlineStr">
        <is>
          <t>Yes</t>
        </is>
      </c>
      <c r="G20" s="10" t="inlineStr">
        <is>
          <t>Not found</t>
        </is>
      </c>
      <c r="H20" s="9" t="inlineStr">
        <is>
          <t>NOT BUILT</t>
        </is>
      </c>
    </row>
    <row r="21">
      <c r="A21" s="9" t="inlineStr">
        <is>
          <t>Reporting API</t>
        </is>
      </c>
      <c r="B21" s="9" t="inlineStr">
        <is>
          <t>OIDC</t>
        </is>
      </c>
      <c r="C21" s="9" t="inlineStr">
        <is>
          <t>Reporting API</t>
        </is>
      </c>
      <c r="D21" s="9" t="inlineStr">
        <is>
          <t>client ID</t>
        </is>
      </c>
      <c r="E21" s="9" t="inlineStr">
        <is>
          <t>Grant types</t>
        </is>
      </c>
      <c r="F21" s="10" t="inlineStr">
        <is>
          <t>client_credentials</t>
        </is>
      </c>
      <c r="G21" s="10" t="inlineStr">
        <is>
          <t>client_credentials</t>
        </is>
      </c>
      <c r="H21" s="9" t="inlineStr">
        <is>
          <t>OK</t>
        </is>
      </c>
    </row>
    <row r="22">
      <c r="A22" s="9" t="inlineStr">
        <is>
          <t>Reporting API</t>
        </is>
      </c>
      <c r="B22" s="9" t="inlineStr">
        <is>
          <t>OIDC</t>
        </is>
      </c>
      <c r="C22" s="9" t="inlineStr">
        <is>
          <t>Reporting API</t>
        </is>
      </c>
      <c r="D22" s="9" t="inlineStr">
        <is>
          <t>client ID</t>
        </is>
      </c>
      <c r="E22" s="9" t="inlineStr">
        <is>
          <t>Client authentication</t>
        </is>
      </c>
      <c r="F22" s="10" t="inlineStr">
        <is>
          <t>private_key_jwt</t>
        </is>
      </c>
      <c r="G22" s="10" t="inlineStr">
        <is>
          <t>private_key_jwt</t>
        </is>
      </c>
      <c r="H22" s="9" t="inlineStr">
        <is>
          <t>OK</t>
        </is>
      </c>
    </row>
    <row r="23">
      <c r="A23" s="9" t="inlineStr">
        <is>
          <t>Reporting API</t>
        </is>
      </c>
      <c r="B23" s="9" t="inlineStr">
        <is>
          <t>OIDC</t>
        </is>
      </c>
      <c r="C23" s="9" t="inlineStr">
        <is>
          <t>Reporting API</t>
        </is>
      </c>
      <c r="D23" s="9" t="inlineStr">
        <is>
          <t>client ID</t>
        </is>
      </c>
      <c r="E23" s="9" t="inlineStr">
        <is>
          <t>Access control</t>
        </is>
      </c>
      <c r="F23" s="10" t="inlineStr">
        <is>
          <t>Authentication policy / issuance criteria</t>
        </is>
      </c>
      <c r="G23" s="10" t="inlineStr">
        <is>
          <t>Verify in PingFederate policies (not on the client)</t>
        </is>
      </c>
      <c r="H23" s="9" t="inlineStr">
        <is>
          <t>OK</t>
        </is>
      </c>
    </row>
    <row r="24">
      <c r="A24" s="9" t="inlineStr">
        <is>
          <t>Salesforce</t>
        </is>
      </c>
      <c r="B24" s="9" t="inlineStr">
        <is>
          <t>SAML</t>
        </is>
      </c>
      <c r="C24" s="9" t="inlineStr">
        <is>
          <t>'</t>
        </is>
      </c>
      <c r="D24" s="9" t="inlineStr">
        <is>
          <t>'</t>
        </is>
      </c>
      <c r="E24" s="9" t="inlineStr">
        <is>
          <t>Exists on PingFederate</t>
        </is>
      </c>
      <c r="F24" s="10" t="inlineStr">
        <is>
          <t>Yes</t>
        </is>
      </c>
      <c r="G24" s="10" t="inlineStr">
        <is>
          <t>Not found</t>
        </is>
      </c>
      <c r="H24" s="9" t="inlineStr">
        <is>
          <t>NOT BUILT</t>
        </is>
      </c>
    </row>
    <row r="25">
      <c r="A25" s="9" t="inlineStr">
        <is>
          <t>ServiceNow</t>
        </is>
      </c>
      <c r="B25" s="9" t="inlineStr">
        <is>
          <t>SAML</t>
        </is>
      </c>
      <c r="C25" s="9" t="inlineStr">
        <is>
          <t>ServiceNow</t>
        </is>
      </c>
      <c r="D25" s="9" t="inlineStr">
        <is>
          <t>name</t>
        </is>
      </c>
      <c r="E25" s="9" t="inlineStr">
        <is>
          <t>Attribute contract</t>
        </is>
      </c>
      <c r="F25" s="10" t="inlineStr">
        <is>
          <t>SAML_SUBJECT</t>
        </is>
      </c>
      <c r="G25" s="10" t="inlineStr">
        <is>
          <t>SAML_SUBJECT</t>
        </is>
      </c>
      <c r="H25" s="9" t="inlineStr">
        <is>
          <t>OK</t>
        </is>
      </c>
    </row>
    <row r="26">
      <c r="A26" s="9" t="inlineStr">
        <is>
          <t>ServiceNow</t>
        </is>
      </c>
      <c r="B26" s="9" t="inlineStr">
        <is>
          <t>SAML</t>
        </is>
      </c>
      <c r="C26" s="9" t="inlineStr">
        <is>
          <t>ServiceNow</t>
        </is>
      </c>
      <c r="D26" s="9" t="inlineStr">
        <is>
          <t>name</t>
        </is>
      </c>
      <c r="E26" s="9" t="inlineStr">
        <is>
          <t>Issuance criteria (access control)</t>
        </is>
      </c>
      <c r="F26" s="10" t="inlineStr">
        <is>
          <t>Required</t>
        </is>
      </c>
      <c r="G26" s="10" t="inlineStr">
        <is>
          <t>Present</t>
        </is>
      </c>
      <c r="H26" s="9" t="inlineStr">
        <is>
          <t>OK</t>
        </is>
      </c>
    </row>
  </sheetData>
  <autoFilter ref="A1:H26"/>
  <conditionalFormatting sqref="H2:H26">
    <cfRule type="expression" priority="1" dxfId="0">
      <formula>$H2="OK"</formula>
    </cfRule>
    <cfRule type="expression" priority="2" dxfId="2">
      <formula>$H2="DIFFERS"</formula>
    </cfRule>
    <cfRule type="expression" priority="3" dxfId="4">
      <formula>$H2="NOT BUILT"</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8"/>
  <sheetViews>
    <sheetView showGridLines="1" workbookViewId="0">
      <pane ySplit="1" topLeftCell="A2" activePane="bottomLeft" state="frozen"/>
      <selection pane="bottomLeft" activeCell="A1" sqref="A1"/>
    </sheetView>
  </sheetViews>
  <sheetFormatPr baseColWidth="8" defaultRowHeight="15"/>
  <cols>
    <col width="30" customWidth="1" min="1" max="1"/>
    <col width="9" customWidth="1" min="2" max="2"/>
    <col width="20" customWidth="1" min="3" max="3"/>
    <col width="5" customWidth="1" min="4" max="4"/>
    <col width="30" customWidth="1" min="5" max="5"/>
    <col width="13" customWidth="1" min="6" max="6"/>
    <col width="22" customWidth="1" min="7" max="7"/>
    <col width="12" customWidth="1" min="8" max="8"/>
    <col width="40" customWidth="1" min="9" max="9"/>
    <col width="16" customWidth="1" min="10" max="10"/>
    <col width="20" customWidth="1" min="11" max="11"/>
  </cols>
  <sheetData>
    <row r="1" ht="30" customHeight="1">
      <c r="A1" s="8" t="inlineStr">
        <is>
          <t>Application</t>
        </is>
      </c>
      <c r="B1" s="8" t="inlineStr">
        <is>
          <t>Protocol</t>
        </is>
      </c>
      <c r="C1" s="8" t="inlineStr">
        <is>
          <t>Wave</t>
        </is>
      </c>
      <c r="D1" s="8" t="inlineStr">
        <is>
          <t>#</t>
        </is>
      </c>
      <c r="E1" s="8" t="inlineStr">
        <is>
          <t>Step</t>
        </is>
      </c>
      <c r="F1" s="8" t="inlineStr">
        <is>
          <t>Status</t>
        </is>
      </c>
      <c r="G1" s="8" t="inlineStr">
        <is>
          <t>Owner</t>
        </is>
      </c>
      <c r="H1" s="8" t="inlineStr">
        <is>
          <t>Due date</t>
        </is>
      </c>
      <c r="I1" s="8" t="inlineStr">
        <is>
          <t>Notes</t>
        </is>
      </c>
      <c r="J1" s="8" t="inlineStr">
        <is>
          <t>Updated by</t>
        </is>
      </c>
      <c r="K1" s="8" t="inlineStr">
        <is>
          <t>PingFederate build</t>
        </is>
      </c>
    </row>
    <row r="2">
      <c r="A2" s="9" t="inlineStr">
        <is>
          <t>Employee Portal</t>
        </is>
      </c>
      <c r="B2" s="9" t="inlineStr">
        <is>
          <t>OIDC</t>
        </is>
      </c>
      <c r="C2" s="9" t="inlineStr">
        <is>
          <t>Wave 1</t>
        </is>
      </c>
      <c r="D2" s="9" t="n">
        <v>1</v>
      </c>
      <c r="E2" s="9" t="inlineStr">
        <is>
          <t>Prepare directory &amp; decisions</t>
        </is>
      </c>
      <c r="F2" s="9" t="inlineStr">
        <is>
          <t>Not Started</t>
        </is>
      </c>
      <c r="G2" s="9" t="inlineStr">
        <is>
          <t>Directory team</t>
        </is>
      </c>
      <c r="H2" s="11" t="n"/>
      <c r="I2" s="10" t="inlineStr">
        <is>
          <t>'</t>
        </is>
      </c>
      <c r="J2" s="9" t="inlineStr">
        <is>
          <t>'</t>
        </is>
      </c>
      <c r="K2" s="9" t="inlineStr">
        <is>
          <t>Built - differs</t>
        </is>
      </c>
    </row>
    <row r="3">
      <c r="A3" s="9" t="inlineStr">
        <is>
          <t>Employee Portal</t>
        </is>
      </c>
      <c r="B3" s="9" t="inlineStr">
        <is>
          <t>OIDC</t>
        </is>
      </c>
      <c r="C3" s="9" t="inlineStr">
        <is>
          <t>Wave 1</t>
        </is>
      </c>
      <c r="D3" s="9" t="n">
        <v>2</v>
      </c>
      <c r="E3" s="9" t="inlineStr">
        <is>
          <t>Build in PingFederate</t>
        </is>
      </c>
      <c r="F3" s="9" t="inlineStr">
        <is>
          <t>Not Started</t>
        </is>
      </c>
      <c r="G3" s="9" t="inlineStr">
        <is>
          <t>IAM team</t>
        </is>
      </c>
      <c r="H3" s="11" t="n"/>
      <c r="I3" s="10" t="inlineStr">
        <is>
          <t>'</t>
        </is>
      </c>
      <c r="J3" s="9" t="inlineStr">
        <is>
          <t>'</t>
        </is>
      </c>
      <c r="K3" s="9" t="inlineStr">
        <is>
          <t>Built - differs</t>
        </is>
      </c>
    </row>
    <row r="4">
      <c r="A4" s="9" t="inlineStr">
        <is>
          <t>Employee Portal</t>
        </is>
      </c>
      <c r="B4" s="9" t="inlineStr">
        <is>
          <t>OIDC</t>
        </is>
      </c>
      <c r="C4" s="9" t="inlineStr">
        <is>
          <t>Wave 1</t>
        </is>
      </c>
      <c r="D4" s="9" t="n">
        <v>3</v>
      </c>
      <c r="E4" s="9" t="inlineStr">
        <is>
          <t>Test with pilot users</t>
        </is>
      </c>
      <c r="F4" s="9" t="inlineStr">
        <is>
          <t>Not Started</t>
        </is>
      </c>
      <c r="G4" s="9" t="inlineStr">
        <is>
          <t>IAM team</t>
        </is>
      </c>
      <c r="H4" s="11" t="n"/>
      <c r="I4" s="10" t="inlineStr">
        <is>
          <t>'</t>
        </is>
      </c>
      <c r="J4" s="9" t="inlineStr">
        <is>
          <t>'</t>
        </is>
      </c>
      <c r="K4" s="9" t="inlineStr">
        <is>
          <t>Built - differs</t>
        </is>
      </c>
    </row>
    <row r="5">
      <c r="A5" s="9" t="inlineStr">
        <is>
          <t>Employee Portal</t>
        </is>
      </c>
      <c r="B5" s="9" t="inlineStr">
        <is>
          <t>OIDC</t>
        </is>
      </c>
      <c r="C5" s="9" t="inlineStr">
        <is>
          <t>Wave 1</t>
        </is>
      </c>
      <c r="D5" s="9" t="n">
        <v>4</v>
      </c>
      <c r="E5" s="9" t="inlineStr">
        <is>
          <t>Update the SP / app</t>
        </is>
      </c>
      <c r="F5" s="9" t="inlineStr">
        <is>
          <t>Not Started</t>
        </is>
      </c>
      <c r="G5" s="9" t="inlineStr">
        <is>
          <t>App owner</t>
        </is>
      </c>
      <c r="H5" s="11" t="n"/>
      <c r="I5" s="10" t="inlineStr">
        <is>
          <t>'</t>
        </is>
      </c>
      <c r="J5" s="9" t="inlineStr">
        <is>
          <t>'</t>
        </is>
      </c>
      <c r="K5" s="9" t="inlineStr">
        <is>
          <t>Built - differs</t>
        </is>
      </c>
    </row>
    <row r="6">
      <c r="A6" s="9" t="inlineStr">
        <is>
          <t>Employee Portal</t>
        </is>
      </c>
      <c r="B6" s="9" t="inlineStr">
        <is>
          <t>OIDC</t>
        </is>
      </c>
      <c r="C6" s="9" t="inlineStr">
        <is>
          <t>Wave 1</t>
        </is>
      </c>
      <c r="D6" s="9" t="n">
        <v>5</v>
      </c>
      <c r="E6" s="9" t="inlineStr">
        <is>
          <t>Cutover</t>
        </is>
      </c>
      <c r="F6" s="9" t="inlineStr">
        <is>
          <t>Not Started</t>
        </is>
      </c>
      <c r="G6" s="9" t="inlineStr">
        <is>
          <t>IAM team + App owner</t>
        </is>
      </c>
      <c r="H6" s="11" t="n"/>
      <c r="I6" s="10" t="inlineStr">
        <is>
          <t>'</t>
        </is>
      </c>
      <c r="J6" s="9" t="inlineStr">
        <is>
          <t>'</t>
        </is>
      </c>
      <c r="K6" s="9" t="inlineStr">
        <is>
          <t>Built - differs</t>
        </is>
      </c>
    </row>
    <row r="7">
      <c r="A7" s="9" t="inlineStr">
        <is>
          <t>Employee Portal</t>
        </is>
      </c>
      <c r="B7" s="9" t="inlineStr">
        <is>
          <t>OIDC</t>
        </is>
      </c>
      <c r="C7" s="9" t="inlineStr">
        <is>
          <t>Wave 1</t>
        </is>
      </c>
      <c r="D7" s="9" t="n">
        <v>6</v>
      </c>
      <c r="E7" s="9" t="inlineStr">
        <is>
          <t>Verify</t>
        </is>
      </c>
      <c r="F7" s="9" t="inlineStr">
        <is>
          <t>Not Started</t>
        </is>
      </c>
      <c r="G7" s="9" t="inlineStr">
        <is>
          <t>App owner</t>
        </is>
      </c>
      <c r="H7" s="11" t="n"/>
      <c r="I7" s="10" t="inlineStr">
        <is>
          <t>'</t>
        </is>
      </c>
      <c r="J7" s="9" t="inlineStr">
        <is>
          <t>'</t>
        </is>
      </c>
      <c r="K7" s="9" t="inlineStr">
        <is>
          <t>Built - differs</t>
        </is>
      </c>
    </row>
    <row r="8">
      <c r="A8" s="9" t="inlineStr">
        <is>
          <t>Employee Portal</t>
        </is>
      </c>
      <c r="B8" s="9" t="inlineStr">
        <is>
          <t>OIDC</t>
        </is>
      </c>
      <c r="C8" s="9" t="inlineStr">
        <is>
          <t>Wave 1</t>
        </is>
      </c>
      <c r="D8" s="9" t="n">
        <v>7</v>
      </c>
      <c r="E8" s="9" t="inlineStr">
        <is>
          <t>Remove from Okta</t>
        </is>
      </c>
      <c r="F8" s="9" t="inlineStr">
        <is>
          <t>Not Started</t>
        </is>
      </c>
      <c r="G8" s="9" t="inlineStr">
        <is>
          <t>IAM team</t>
        </is>
      </c>
      <c r="H8" s="11" t="n"/>
      <c r="I8" s="10" t="inlineStr">
        <is>
          <t>'</t>
        </is>
      </c>
      <c r="J8" s="9" t="inlineStr">
        <is>
          <t>'</t>
        </is>
      </c>
      <c r="K8" s="9" t="inlineStr">
        <is>
          <t>Built - differs</t>
        </is>
      </c>
    </row>
    <row r="9">
      <c r="A9" s="9" t="inlineStr">
        <is>
          <t>Engineering Wiki (Confluence DC)</t>
        </is>
      </c>
      <c r="B9" s="9" t="inlineStr">
        <is>
          <t>SAML</t>
        </is>
      </c>
      <c r="C9" s="9" t="inlineStr">
        <is>
          <t>Blocked</t>
        </is>
      </c>
      <c r="D9" s="9" t="n">
        <v>1</v>
      </c>
      <c r="E9" s="9" t="inlineStr">
        <is>
          <t>Prepare directory &amp; decisions</t>
        </is>
      </c>
      <c r="F9" s="9" t="inlineStr">
        <is>
          <t>Not Started</t>
        </is>
      </c>
      <c r="G9" s="9" t="inlineStr">
        <is>
          <t>Directory team</t>
        </is>
      </c>
      <c r="H9" s="11" t="n"/>
      <c r="I9" s="10" t="inlineStr">
        <is>
          <t>'</t>
        </is>
      </c>
      <c r="J9" s="9" t="inlineStr">
        <is>
          <t>'</t>
        </is>
      </c>
      <c r="K9" s="9" t="inlineStr">
        <is>
          <t>Built - differs</t>
        </is>
      </c>
    </row>
    <row r="10">
      <c r="A10" s="9" t="inlineStr">
        <is>
          <t>Engineering Wiki (Confluence DC)</t>
        </is>
      </c>
      <c r="B10" s="9" t="inlineStr">
        <is>
          <t>SAML</t>
        </is>
      </c>
      <c r="C10" s="9" t="inlineStr">
        <is>
          <t>Blocked</t>
        </is>
      </c>
      <c r="D10" s="9" t="n">
        <v>2</v>
      </c>
      <c r="E10" s="9" t="inlineStr">
        <is>
          <t>Build in PingFederate</t>
        </is>
      </c>
      <c r="F10" s="9" t="inlineStr">
        <is>
          <t>Not Started</t>
        </is>
      </c>
      <c r="G10" s="9" t="inlineStr">
        <is>
          <t>IAM team</t>
        </is>
      </c>
      <c r="H10" s="11" t="n"/>
      <c r="I10" s="10" t="inlineStr">
        <is>
          <t>'</t>
        </is>
      </c>
      <c r="J10" s="9" t="inlineStr">
        <is>
          <t>'</t>
        </is>
      </c>
      <c r="K10" s="9" t="inlineStr">
        <is>
          <t>Built - differs</t>
        </is>
      </c>
    </row>
    <row r="11">
      <c r="A11" s="9" t="inlineStr">
        <is>
          <t>Engineering Wiki (Confluence DC)</t>
        </is>
      </c>
      <c r="B11" s="9" t="inlineStr">
        <is>
          <t>SAML</t>
        </is>
      </c>
      <c r="C11" s="9" t="inlineStr">
        <is>
          <t>Blocked</t>
        </is>
      </c>
      <c r="D11" s="9" t="n">
        <v>3</v>
      </c>
      <c r="E11" s="9" t="inlineStr">
        <is>
          <t>Test with pilot users</t>
        </is>
      </c>
      <c r="F11" s="9" t="inlineStr">
        <is>
          <t>Not Started</t>
        </is>
      </c>
      <c r="G11" s="9" t="inlineStr">
        <is>
          <t>IAM team</t>
        </is>
      </c>
      <c r="H11" s="11" t="n"/>
      <c r="I11" s="10" t="inlineStr">
        <is>
          <t>'</t>
        </is>
      </c>
      <c r="J11" s="9" t="inlineStr">
        <is>
          <t>'</t>
        </is>
      </c>
      <c r="K11" s="9" t="inlineStr">
        <is>
          <t>Built - differs</t>
        </is>
      </c>
    </row>
    <row r="12">
      <c r="A12" s="9" t="inlineStr">
        <is>
          <t>Engineering Wiki (Confluence DC)</t>
        </is>
      </c>
      <c r="B12" s="9" t="inlineStr">
        <is>
          <t>SAML</t>
        </is>
      </c>
      <c r="C12" s="9" t="inlineStr">
        <is>
          <t>Blocked</t>
        </is>
      </c>
      <c r="D12" s="9" t="n">
        <v>4</v>
      </c>
      <c r="E12" s="9" t="inlineStr">
        <is>
          <t>Update the SP / app</t>
        </is>
      </c>
      <c r="F12" s="9" t="inlineStr">
        <is>
          <t>Not Started</t>
        </is>
      </c>
      <c r="G12" s="9" t="inlineStr">
        <is>
          <t>App owner</t>
        </is>
      </c>
      <c r="H12" s="11" t="n"/>
      <c r="I12" s="10" t="inlineStr">
        <is>
          <t>'</t>
        </is>
      </c>
      <c r="J12" s="9" t="inlineStr">
        <is>
          <t>'</t>
        </is>
      </c>
      <c r="K12" s="9" t="inlineStr">
        <is>
          <t>Built - differs</t>
        </is>
      </c>
    </row>
    <row r="13">
      <c r="A13" s="9" t="inlineStr">
        <is>
          <t>Engineering Wiki (Confluence DC)</t>
        </is>
      </c>
      <c r="B13" s="9" t="inlineStr">
        <is>
          <t>SAML</t>
        </is>
      </c>
      <c r="C13" s="9" t="inlineStr">
        <is>
          <t>Blocked</t>
        </is>
      </c>
      <c r="D13" s="9" t="n">
        <v>5</v>
      </c>
      <c r="E13" s="9" t="inlineStr">
        <is>
          <t>Cutover</t>
        </is>
      </c>
      <c r="F13" s="9" t="inlineStr">
        <is>
          <t>Not Started</t>
        </is>
      </c>
      <c r="G13" s="9" t="inlineStr">
        <is>
          <t>IAM team + App owner</t>
        </is>
      </c>
      <c r="H13" s="11" t="n"/>
      <c r="I13" s="10" t="inlineStr">
        <is>
          <t>'</t>
        </is>
      </c>
      <c r="J13" s="9" t="inlineStr">
        <is>
          <t>'</t>
        </is>
      </c>
      <c r="K13" s="9" t="inlineStr">
        <is>
          <t>Built - differs</t>
        </is>
      </c>
    </row>
    <row r="14">
      <c r="A14" s="9" t="inlineStr">
        <is>
          <t>Engineering Wiki (Confluence DC)</t>
        </is>
      </c>
      <c r="B14" s="9" t="inlineStr">
        <is>
          <t>SAML</t>
        </is>
      </c>
      <c r="C14" s="9" t="inlineStr">
        <is>
          <t>Blocked</t>
        </is>
      </c>
      <c r="D14" s="9" t="n">
        <v>6</v>
      </c>
      <c r="E14" s="9" t="inlineStr">
        <is>
          <t>Verify</t>
        </is>
      </c>
      <c r="F14" s="9" t="inlineStr">
        <is>
          <t>Not Started</t>
        </is>
      </c>
      <c r="G14" s="9" t="inlineStr">
        <is>
          <t>App owner</t>
        </is>
      </c>
      <c r="H14" s="11" t="n"/>
      <c r="I14" s="10" t="inlineStr">
        <is>
          <t>'</t>
        </is>
      </c>
      <c r="J14" s="9" t="inlineStr">
        <is>
          <t>'</t>
        </is>
      </c>
      <c r="K14" s="9" t="inlineStr">
        <is>
          <t>Built - differs</t>
        </is>
      </c>
    </row>
    <row r="15">
      <c r="A15" s="9" t="inlineStr">
        <is>
          <t>Engineering Wiki (Confluence DC)</t>
        </is>
      </c>
      <c r="B15" s="9" t="inlineStr">
        <is>
          <t>SAML</t>
        </is>
      </c>
      <c r="C15" s="9" t="inlineStr">
        <is>
          <t>Blocked</t>
        </is>
      </c>
      <c r="D15" s="9" t="n">
        <v>7</v>
      </c>
      <c r="E15" s="9" t="inlineStr">
        <is>
          <t>Remove from Okta</t>
        </is>
      </c>
      <c r="F15" s="9" t="inlineStr">
        <is>
          <t>Not Started</t>
        </is>
      </c>
      <c r="G15" s="9" t="inlineStr">
        <is>
          <t>IAM team</t>
        </is>
      </c>
      <c r="H15" s="11" t="n"/>
      <c r="I15" s="10" t="inlineStr">
        <is>
          <t>'</t>
        </is>
      </c>
      <c r="J15" s="9" t="inlineStr">
        <is>
          <t>'</t>
        </is>
      </c>
      <c r="K15" s="9" t="inlineStr">
        <is>
          <t>Built - differs</t>
        </is>
      </c>
    </row>
    <row r="16">
      <c r="A16" s="9" t="inlineStr">
        <is>
          <t>Expense Portal</t>
        </is>
      </c>
      <c r="B16" s="9" t="inlineStr">
        <is>
          <t>SAML</t>
        </is>
      </c>
      <c r="C16" s="9" t="inlineStr">
        <is>
          <t>Blocked</t>
        </is>
      </c>
      <c r="D16" s="9" t="n">
        <v>1</v>
      </c>
      <c r="E16" s="9" t="inlineStr">
        <is>
          <t>Prepare directory &amp; decisions</t>
        </is>
      </c>
      <c r="F16" s="9" t="inlineStr">
        <is>
          <t>Not Started</t>
        </is>
      </c>
      <c r="G16" s="9" t="inlineStr">
        <is>
          <t>Directory team</t>
        </is>
      </c>
      <c r="H16" s="11" t="n"/>
      <c r="I16" s="10" t="inlineStr">
        <is>
          <t>'</t>
        </is>
      </c>
      <c r="J16" s="9" t="inlineStr">
        <is>
          <t>'</t>
        </is>
      </c>
      <c r="K16" s="9" t="inlineStr">
        <is>
          <t>Built</t>
        </is>
      </c>
    </row>
    <row r="17">
      <c r="A17" s="9" t="inlineStr">
        <is>
          <t>Expense Portal</t>
        </is>
      </c>
      <c r="B17" s="9" t="inlineStr">
        <is>
          <t>SAML</t>
        </is>
      </c>
      <c r="C17" s="9" t="inlineStr">
        <is>
          <t>Blocked</t>
        </is>
      </c>
      <c r="D17" s="9" t="n">
        <v>2</v>
      </c>
      <c r="E17" s="9" t="inlineStr">
        <is>
          <t>Build in PingFederate</t>
        </is>
      </c>
      <c r="F17" s="9" t="inlineStr">
        <is>
          <t>Not Started</t>
        </is>
      </c>
      <c r="G17" s="9" t="inlineStr">
        <is>
          <t>IAM team</t>
        </is>
      </c>
      <c r="H17" s="11" t="n"/>
      <c r="I17" s="10" t="inlineStr">
        <is>
          <t>'</t>
        </is>
      </c>
      <c r="J17" s="9" t="inlineStr">
        <is>
          <t>'</t>
        </is>
      </c>
      <c r="K17" s="9" t="inlineStr">
        <is>
          <t>Built</t>
        </is>
      </c>
    </row>
    <row r="18">
      <c r="A18" s="9" t="inlineStr">
        <is>
          <t>Expense Portal</t>
        </is>
      </c>
      <c r="B18" s="9" t="inlineStr">
        <is>
          <t>SAML</t>
        </is>
      </c>
      <c r="C18" s="9" t="inlineStr">
        <is>
          <t>Blocked</t>
        </is>
      </c>
      <c r="D18" s="9" t="n">
        <v>3</v>
      </c>
      <c r="E18" s="9" t="inlineStr">
        <is>
          <t>Test with pilot users</t>
        </is>
      </c>
      <c r="F18" s="9" t="inlineStr">
        <is>
          <t>Not Started</t>
        </is>
      </c>
      <c r="G18" s="9" t="inlineStr">
        <is>
          <t>IAM team</t>
        </is>
      </c>
      <c r="H18" s="11" t="n"/>
      <c r="I18" s="10" t="inlineStr">
        <is>
          <t>'</t>
        </is>
      </c>
      <c r="J18" s="9" t="inlineStr">
        <is>
          <t>'</t>
        </is>
      </c>
      <c r="K18" s="9" t="inlineStr">
        <is>
          <t>Built</t>
        </is>
      </c>
    </row>
    <row r="19">
      <c r="A19" s="9" t="inlineStr">
        <is>
          <t>Expense Portal</t>
        </is>
      </c>
      <c r="B19" s="9" t="inlineStr">
        <is>
          <t>SAML</t>
        </is>
      </c>
      <c r="C19" s="9" t="inlineStr">
        <is>
          <t>Blocked</t>
        </is>
      </c>
      <c r="D19" s="9" t="n">
        <v>4</v>
      </c>
      <c r="E19" s="9" t="inlineStr">
        <is>
          <t>Update the SP / app</t>
        </is>
      </c>
      <c r="F19" s="9" t="inlineStr">
        <is>
          <t>Not Started</t>
        </is>
      </c>
      <c r="G19" s="9" t="inlineStr">
        <is>
          <t>App owner</t>
        </is>
      </c>
      <c r="H19" s="11" t="n"/>
      <c r="I19" s="10" t="inlineStr">
        <is>
          <t>'</t>
        </is>
      </c>
      <c r="J19" s="9" t="inlineStr">
        <is>
          <t>'</t>
        </is>
      </c>
      <c r="K19" s="9" t="inlineStr">
        <is>
          <t>Built</t>
        </is>
      </c>
    </row>
    <row r="20">
      <c r="A20" s="9" t="inlineStr">
        <is>
          <t>Expense Portal</t>
        </is>
      </c>
      <c r="B20" s="9" t="inlineStr">
        <is>
          <t>SAML</t>
        </is>
      </c>
      <c r="C20" s="9" t="inlineStr">
        <is>
          <t>Blocked</t>
        </is>
      </c>
      <c r="D20" s="9" t="n">
        <v>5</v>
      </c>
      <c r="E20" s="9" t="inlineStr">
        <is>
          <t>Cutover</t>
        </is>
      </c>
      <c r="F20" s="9" t="inlineStr">
        <is>
          <t>Not Started</t>
        </is>
      </c>
      <c r="G20" s="9" t="inlineStr">
        <is>
          <t>IAM team + App owner</t>
        </is>
      </c>
      <c r="H20" s="11" t="n"/>
      <c r="I20" s="10" t="inlineStr">
        <is>
          <t>'</t>
        </is>
      </c>
      <c r="J20" s="9" t="inlineStr">
        <is>
          <t>'</t>
        </is>
      </c>
      <c r="K20" s="9" t="inlineStr">
        <is>
          <t>Built</t>
        </is>
      </c>
    </row>
    <row r="21">
      <c r="A21" s="9" t="inlineStr">
        <is>
          <t>Expense Portal</t>
        </is>
      </c>
      <c r="B21" s="9" t="inlineStr">
        <is>
          <t>SAML</t>
        </is>
      </c>
      <c r="C21" s="9" t="inlineStr">
        <is>
          <t>Blocked</t>
        </is>
      </c>
      <c r="D21" s="9" t="n">
        <v>6</v>
      </c>
      <c r="E21" s="9" t="inlineStr">
        <is>
          <t>Verify</t>
        </is>
      </c>
      <c r="F21" s="9" t="inlineStr">
        <is>
          <t>Not Started</t>
        </is>
      </c>
      <c r="G21" s="9" t="inlineStr">
        <is>
          <t>App owner</t>
        </is>
      </c>
      <c r="H21" s="11" t="n"/>
      <c r="I21" s="10" t="inlineStr">
        <is>
          <t>'</t>
        </is>
      </c>
      <c r="J21" s="9" t="inlineStr">
        <is>
          <t>'</t>
        </is>
      </c>
      <c r="K21" s="9" t="inlineStr">
        <is>
          <t>Built</t>
        </is>
      </c>
    </row>
    <row r="22">
      <c r="A22" s="9" t="inlineStr">
        <is>
          <t>Expense Portal</t>
        </is>
      </c>
      <c r="B22" s="9" t="inlineStr">
        <is>
          <t>SAML</t>
        </is>
      </c>
      <c r="C22" s="9" t="inlineStr">
        <is>
          <t>Blocked</t>
        </is>
      </c>
      <c r="D22" s="9" t="n">
        <v>7</v>
      </c>
      <c r="E22" s="9" t="inlineStr">
        <is>
          <t>Remove from Okta</t>
        </is>
      </c>
      <c r="F22" s="9" t="inlineStr">
        <is>
          <t>Not Started</t>
        </is>
      </c>
      <c r="G22" s="9" t="inlineStr">
        <is>
          <t>IAM team</t>
        </is>
      </c>
      <c r="H22" s="11" t="n"/>
      <c r="I22" s="10" t="inlineStr">
        <is>
          <t>'</t>
        </is>
      </c>
      <c r="J22" s="9" t="inlineStr">
        <is>
          <t>'</t>
        </is>
      </c>
      <c r="K22" s="9" t="inlineStr">
        <is>
          <t>Built</t>
        </is>
      </c>
    </row>
    <row r="23">
      <c r="A23" s="9" t="inlineStr">
        <is>
          <t>Expense Portal (UAT)</t>
        </is>
      </c>
      <c r="B23" s="9" t="inlineStr">
        <is>
          <t>SAML</t>
        </is>
      </c>
      <c r="C23" s="9" t="inlineStr">
        <is>
          <t>Decommission review</t>
        </is>
      </c>
      <c r="D23" s="9" t="n">
        <v>1</v>
      </c>
      <c r="E23" s="9" t="inlineStr">
        <is>
          <t>Prepare directory &amp; decisions</t>
        </is>
      </c>
      <c r="F23" s="9" t="inlineStr">
        <is>
          <t>Not Started</t>
        </is>
      </c>
      <c r="G23" s="9" t="inlineStr">
        <is>
          <t>Directory team</t>
        </is>
      </c>
      <c r="H23" s="11" t="n"/>
      <c r="I23" s="10" t="inlineStr">
        <is>
          <t>'</t>
        </is>
      </c>
      <c r="J23" s="9" t="inlineStr">
        <is>
          <t>'</t>
        </is>
      </c>
      <c r="K23" s="9" t="inlineStr">
        <is>
          <t>Built - differs</t>
        </is>
      </c>
    </row>
    <row r="24">
      <c r="A24" s="9" t="inlineStr">
        <is>
          <t>Expense Portal (UAT)</t>
        </is>
      </c>
      <c r="B24" s="9" t="inlineStr">
        <is>
          <t>SAML</t>
        </is>
      </c>
      <c r="C24" s="9" t="inlineStr">
        <is>
          <t>Decommission review</t>
        </is>
      </c>
      <c r="D24" s="9" t="n">
        <v>2</v>
      </c>
      <c r="E24" s="9" t="inlineStr">
        <is>
          <t>Build in PingFederate</t>
        </is>
      </c>
      <c r="F24" s="9" t="inlineStr">
        <is>
          <t>Not Started</t>
        </is>
      </c>
      <c r="G24" s="9" t="inlineStr">
        <is>
          <t>IAM team</t>
        </is>
      </c>
      <c r="H24" s="11" t="n"/>
      <c r="I24" s="10" t="inlineStr">
        <is>
          <t>'</t>
        </is>
      </c>
      <c r="J24" s="9" t="inlineStr">
        <is>
          <t>'</t>
        </is>
      </c>
      <c r="K24" s="9" t="inlineStr">
        <is>
          <t>Built - differs</t>
        </is>
      </c>
    </row>
    <row r="25">
      <c r="A25" s="9" t="inlineStr">
        <is>
          <t>Expense Portal (UAT)</t>
        </is>
      </c>
      <c r="B25" s="9" t="inlineStr">
        <is>
          <t>SAML</t>
        </is>
      </c>
      <c r="C25" s="9" t="inlineStr">
        <is>
          <t>Decommission review</t>
        </is>
      </c>
      <c r="D25" s="9" t="n">
        <v>3</v>
      </c>
      <c r="E25" s="9" t="inlineStr">
        <is>
          <t>Test with pilot users</t>
        </is>
      </c>
      <c r="F25" s="9" t="inlineStr">
        <is>
          <t>Not Started</t>
        </is>
      </c>
      <c r="G25" s="9" t="inlineStr">
        <is>
          <t>IAM team</t>
        </is>
      </c>
      <c r="H25" s="11" t="n"/>
      <c r="I25" s="10" t="inlineStr">
        <is>
          <t>'</t>
        </is>
      </c>
      <c r="J25" s="9" t="inlineStr">
        <is>
          <t>'</t>
        </is>
      </c>
      <c r="K25" s="9" t="inlineStr">
        <is>
          <t>Built - differs</t>
        </is>
      </c>
    </row>
    <row r="26">
      <c r="A26" s="9" t="inlineStr">
        <is>
          <t>Expense Portal (UAT)</t>
        </is>
      </c>
      <c r="B26" s="9" t="inlineStr">
        <is>
          <t>SAML</t>
        </is>
      </c>
      <c r="C26" s="9" t="inlineStr">
        <is>
          <t>Decommission review</t>
        </is>
      </c>
      <c r="D26" s="9" t="n">
        <v>4</v>
      </c>
      <c r="E26" s="9" t="inlineStr">
        <is>
          <t>Update the SP / app</t>
        </is>
      </c>
      <c r="F26" s="9" t="inlineStr">
        <is>
          <t>Not Started</t>
        </is>
      </c>
      <c r="G26" s="9" t="inlineStr">
        <is>
          <t>App owner</t>
        </is>
      </c>
      <c r="H26" s="11" t="n"/>
      <c r="I26" s="10" t="inlineStr">
        <is>
          <t>'</t>
        </is>
      </c>
      <c r="J26" s="9" t="inlineStr">
        <is>
          <t>'</t>
        </is>
      </c>
      <c r="K26" s="9" t="inlineStr">
        <is>
          <t>Built - differs</t>
        </is>
      </c>
    </row>
    <row r="27">
      <c r="A27" s="9" t="inlineStr">
        <is>
          <t>Expense Portal (UAT)</t>
        </is>
      </c>
      <c r="B27" s="9" t="inlineStr">
        <is>
          <t>SAML</t>
        </is>
      </c>
      <c r="C27" s="9" t="inlineStr">
        <is>
          <t>Decommission review</t>
        </is>
      </c>
      <c r="D27" s="9" t="n">
        <v>5</v>
      </c>
      <c r="E27" s="9" t="inlineStr">
        <is>
          <t>Cutover</t>
        </is>
      </c>
      <c r="F27" s="9" t="inlineStr">
        <is>
          <t>Not Started</t>
        </is>
      </c>
      <c r="G27" s="9" t="inlineStr">
        <is>
          <t>IAM team + App owner</t>
        </is>
      </c>
      <c r="H27" s="11" t="n"/>
      <c r="I27" s="10" t="inlineStr">
        <is>
          <t>'</t>
        </is>
      </c>
      <c r="J27" s="9" t="inlineStr">
        <is>
          <t>'</t>
        </is>
      </c>
      <c r="K27" s="9" t="inlineStr">
        <is>
          <t>Built - differs</t>
        </is>
      </c>
    </row>
    <row r="28">
      <c r="A28" s="9" t="inlineStr">
        <is>
          <t>Expense Portal (UAT)</t>
        </is>
      </c>
      <c r="B28" s="9" t="inlineStr">
        <is>
          <t>SAML</t>
        </is>
      </c>
      <c r="C28" s="9" t="inlineStr">
        <is>
          <t>Decommission review</t>
        </is>
      </c>
      <c r="D28" s="9" t="n">
        <v>6</v>
      </c>
      <c r="E28" s="9" t="inlineStr">
        <is>
          <t>Verify</t>
        </is>
      </c>
      <c r="F28" s="9" t="inlineStr">
        <is>
          <t>Not Started</t>
        </is>
      </c>
      <c r="G28" s="9" t="inlineStr">
        <is>
          <t>App owner</t>
        </is>
      </c>
      <c r="H28" s="11" t="n"/>
      <c r="I28" s="10" t="inlineStr">
        <is>
          <t>'</t>
        </is>
      </c>
      <c r="J28" s="9" t="inlineStr">
        <is>
          <t>'</t>
        </is>
      </c>
      <c r="K28" s="9" t="inlineStr">
        <is>
          <t>Built - differs</t>
        </is>
      </c>
    </row>
    <row r="29">
      <c r="A29" s="9" t="inlineStr">
        <is>
          <t>Expense Portal (UAT)</t>
        </is>
      </c>
      <c r="B29" s="9" t="inlineStr">
        <is>
          <t>SAML</t>
        </is>
      </c>
      <c r="C29" s="9" t="inlineStr">
        <is>
          <t>Decommission review</t>
        </is>
      </c>
      <c r="D29" s="9" t="n">
        <v>7</v>
      </c>
      <c r="E29" s="9" t="inlineStr">
        <is>
          <t>Remove from Okta</t>
        </is>
      </c>
      <c r="F29" s="9" t="inlineStr">
        <is>
          <t>Not Started</t>
        </is>
      </c>
      <c r="G29" s="9" t="inlineStr">
        <is>
          <t>IAM team</t>
        </is>
      </c>
      <c r="H29" s="11" t="n"/>
      <c r="I29" s="10" t="inlineStr">
        <is>
          <t>'</t>
        </is>
      </c>
      <c r="J29" s="9" t="inlineStr">
        <is>
          <t>'</t>
        </is>
      </c>
      <c r="K29" s="9" t="inlineStr">
        <is>
          <t>Built - differs</t>
        </is>
      </c>
    </row>
    <row r="30">
      <c r="A30" s="9" t="inlineStr">
        <is>
          <t>HR Analytics (Tableau)</t>
        </is>
      </c>
      <c r="B30" s="9" t="inlineStr">
        <is>
          <t>SAML</t>
        </is>
      </c>
      <c r="C30" s="9" t="inlineStr">
        <is>
          <t>Blocked</t>
        </is>
      </c>
      <c r="D30" s="9" t="n">
        <v>1</v>
      </c>
      <c r="E30" s="9" t="inlineStr">
        <is>
          <t>Prepare directory &amp; decisions</t>
        </is>
      </c>
      <c r="F30" s="9" t="inlineStr">
        <is>
          <t>Not Started</t>
        </is>
      </c>
      <c r="G30" s="9" t="inlineStr">
        <is>
          <t>Directory team</t>
        </is>
      </c>
      <c r="H30" s="11" t="n"/>
      <c r="I30" s="10" t="inlineStr">
        <is>
          <t>'</t>
        </is>
      </c>
      <c r="J30" s="9" t="inlineStr">
        <is>
          <t>'</t>
        </is>
      </c>
      <c r="K30" s="9" t="inlineStr">
        <is>
          <t>Blocked</t>
        </is>
      </c>
    </row>
    <row r="31">
      <c r="A31" s="9" t="inlineStr">
        <is>
          <t>HR Analytics (Tableau)</t>
        </is>
      </c>
      <c r="B31" s="9" t="inlineStr">
        <is>
          <t>SAML</t>
        </is>
      </c>
      <c r="C31" s="9" t="inlineStr">
        <is>
          <t>Blocked</t>
        </is>
      </c>
      <c r="D31" s="9" t="n">
        <v>2</v>
      </c>
      <c r="E31" s="9" t="inlineStr">
        <is>
          <t>Build in PingFederate</t>
        </is>
      </c>
      <c r="F31" s="9" t="inlineStr">
        <is>
          <t>Not Started</t>
        </is>
      </c>
      <c r="G31" s="9" t="inlineStr">
        <is>
          <t>IAM team</t>
        </is>
      </c>
      <c r="H31" s="11" t="n"/>
      <c r="I31" s="10" t="inlineStr">
        <is>
          <t>'</t>
        </is>
      </c>
      <c r="J31" s="9" t="inlineStr">
        <is>
          <t>'</t>
        </is>
      </c>
      <c r="K31" s="9" t="inlineStr">
        <is>
          <t>Blocked</t>
        </is>
      </c>
    </row>
    <row r="32">
      <c r="A32" s="9" t="inlineStr">
        <is>
          <t>HR Analytics (Tableau)</t>
        </is>
      </c>
      <c r="B32" s="9" t="inlineStr">
        <is>
          <t>SAML</t>
        </is>
      </c>
      <c r="C32" s="9" t="inlineStr">
        <is>
          <t>Blocked</t>
        </is>
      </c>
      <c r="D32" s="9" t="n">
        <v>3</v>
      </c>
      <c r="E32" s="9" t="inlineStr">
        <is>
          <t>Test with pilot users</t>
        </is>
      </c>
      <c r="F32" s="9" t="inlineStr">
        <is>
          <t>Not Started</t>
        </is>
      </c>
      <c r="G32" s="9" t="inlineStr">
        <is>
          <t>IAM team</t>
        </is>
      </c>
      <c r="H32" s="11" t="n"/>
      <c r="I32" s="10" t="inlineStr">
        <is>
          <t>'</t>
        </is>
      </c>
      <c r="J32" s="9" t="inlineStr">
        <is>
          <t>'</t>
        </is>
      </c>
      <c r="K32" s="9" t="inlineStr">
        <is>
          <t>Blocked</t>
        </is>
      </c>
    </row>
    <row r="33">
      <c r="A33" s="9" t="inlineStr">
        <is>
          <t>HR Analytics (Tableau)</t>
        </is>
      </c>
      <c r="B33" s="9" t="inlineStr">
        <is>
          <t>SAML</t>
        </is>
      </c>
      <c r="C33" s="9" t="inlineStr">
        <is>
          <t>Blocked</t>
        </is>
      </c>
      <c r="D33" s="9" t="n">
        <v>4</v>
      </c>
      <c r="E33" s="9" t="inlineStr">
        <is>
          <t>Update the SP / app</t>
        </is>
      </c>
      <c r="F33" s="9" t="inlineStr">
        <is>
          <t>Not Started</t>
        </is>
      </c>
      <c r="G33" s="9" t="inlineStr">
        <is>
          <t>App owner</t>
        </is>
      </c>
      <c r="H33" s="11" t="n"/>
      <c r="I33" s="10" t="inlineStr">
        <is>
          <t>'</t>
        </is>
      </c>
      <c r="J33" s="9" t="inlineStr">
        <is>
          <t>'</t>
        </is>
      </c>
      <c r="K33" s="9" t="inlineStr">
        <is>
          <t>Blocked</t>
        </is>
      </c>
    </row>
    <row r="34">
      <c r="A34" s="9" t="inlineStr">
        <is>
          <t>HR Analytics (Tableau)</t>
        </is>
      </c>
      <c r="B34" s="9" t="inlineStr">
        <is>
          <t>SAML</t>
        </is>
      </c>
      <c r="C34" s="9" t="inlineStr">
        <is>
          <t>Blocked</t>
        </is>
      </c>
      <c r="D34" s="9" t="n">
        <v>5</v>
      </c>
      <c r="E34" s="9" t="inlineStr">
        <is>
          <t>Cutover</t>
        </is>
      </c>
      <c r="F34" s="9" t="inlineStr">
        <is>
          <t>Not Started</t>
        </is>
      </c>
      <c r="G34" s="9" t="inlineStr">
        <is>
          <t>IAM team + App owner</t>
        </is>
      </c>
      <c r="H34" s="11" t="n"/>
      <c r="I34" s="10" t="inlineStr">
        <is>
          <t>'</t>
        </is>
      </c>
      <c r="J34" s="9" t="inlineStr">
        <is>
          <t>'</t>
        </is>
      </c>
      <c r="K34" s="9" t="inlineStr">
        <is>
          <t>Blocked</t>
        </is>
      </c>
    </row>
    <row r="35">
      <c r="A35" s="9" t="inlineStr">
        <is>
          <t>HR Analytics (Tableau)</t>
        </is>
      </c>
      <c r="B35" s="9" t="inlineStr">
        <is>
          <t>SAML</t>
        </is>
      </c>
      <c r="C35" s="9" t="inlineStr">
        <is>
          <t>Blocked</t>
        </is>
      </c>
      <c r="D35" s="9" t="n">
        <v>6</v>
      </c>
      <c r="E35" s="9" t="inlineStr">
        <is>
          <t>Verify</t>
        </is>
      </c>
      <c r="F35" s="9" t="inlineStr">
        <is>
          <t>Not Started</t>
        </is>
      </c>
      <c r="G35" s="9" t="inlineStr">
        <is>
          <t>App owner</t>
        </is>
      </c>
      <c r="H35" s="11" t="n"/>
      <c r="I35" s="10" t="inlineStr">
        <is>
          <t>'</t>
        </is>
      </c>
      <c r="J35" s="9" t="inlineStr">
        <is>
          <t>'</t>
        </is>
      </c>
      <c r="K35" s="9" t="inlineStr">
        <is>
          <t>Blocked</t>
        </is>
      </c>
    </row>
    <row r="36">
      <c r="A36" s="9" t="inlineStr">
        <is>
          <t>HR Analytics (Tableau)</t>
        </is>
      </c>
      <c r="B36" s="9" t="inlineStr">
        <is>
          <t>SAML</t>
        </is>
      </c>
      <c r="C36" s="9" t="inlineStr">
        <is>
          <t>Blocked</t>
        </is>
      </c>
      <c r="D36" s="9" t="n">
        <v>7</v>
      </c>
      <c r="E36" s="9" t="inlineStr">
        <is>
          <t>Remove from Okta</t>
        </is>
      </c>
      <c r="F36" s="9" t="inlineStr">
        <is>
          <t>Not Started</t>
        </is>
      </c>
      <c r="G36" s="9" t="inlineStr">
        <is>
          <t>IAM team</t>
        </is>
      </c>
      <c r="H36" s="11" t="n"/>
      <c r="I36" s="10" t="inlineStr">
        <is>
          <t>'</t>
        </is>
      </c>
      <c r="J36" s="9" t="inlineStr">
        <is>
          <t>'</t>
        </is>
      </c>
      <c r="K36" s="9" t="inlineStr">
        <is>
          <t>Blocked</t>
        </is>
      </c>
    </row>
    <row r="37">
      <c r="A37" s="9" t="inlineStr">
        <is>
          <t>Legacy Intranet SPA</t>
        </is>
      </c>
      <c r="B37" s="9" t="inlineStr">
        <is>
          <t>OIDC</t>
        </is>
      </c>
      <c r="C37" s="9" t="inlineStr">
        <is>
          <t>Decommission review</t>
        </is>
      </c>
      <c r="D37" s="9" t="n">
        <v>1</v>
      </c>
      <c r="E37" s="9" t="inlineStr">
        <is>
          <t>Prepare directory &amp; decisions</t>
        </is>
      </c>
      <c r="F37" s="9" t="inlineStr">
        <is>
          <t>Not Started</t>
        </is>
      </c>
      <c r="G37" s="9" t="inlineStr">
        <is>
          <t>Directory team</t>
        </is>
      </c>
      <c r="H37" s="11" t="n"/>
      <c r="I37" s="10" t="inlineStr">
        <is>
          <t>'</t>
        </is>
      </c>
      <c r="J37" s="9" t="inlineStr">
        <is>
          <t>'</t>
        </is>
      </c>
      <c r="K37" s="9" t="inlineStr">
        <is>
          <t>Ready to build</t>
        </is>
      </c>
    </row>
    <row r="38">
      <c r="A38" s="9" t="inlineStr">
        <is>
          <t>Legacy Intranet SPA</t>
        </is>
      </c>
      <c r="B38" s="9" t="inlineStr">
        <is>
          <t>OIDC</t>
        </is>
      </c>
      <c r="C38" s="9" t="inlineStr">
        <is>
          <t>Decommission review</t>
        </is>
      </c>
      <c r="D38" s="9" t="n">
        <v>2</v>
      </c>
      <c r="E38" s="9" t="inlineStr">
        <is>
          <t>Build in PingFederate</t>
        </is>
      </c>
      <c r="F38" s="9" t="inlineStr">
        <is>
          <t>Not Started</t>
        </is>
      </c>
      <c r="G38" s="9" t="inlineStr">
        <is>
          <t>IAM team</t>
        </is>
      </c>
      <c r="H38" s="11" t="n"/>
      <c r="I38" s="10" t="inlineStr">
        <is>
          <t>'</t>
        </is>
      </c>
      <c r="J38" s="9" t="inlineStr">
        <is>
          <t>'</t>
        </is>
      </c>
      <c r="K38" s="9" t="inlineStr">
        <is>
          <t>Ready to build</t>
        </is>
      </c>
    </row>
    <row r="39">
      <c r="A39" s="9" t="inlineStr">
        <is>
          <t>Legacy Intranet SPA</t>
        </is>
      </c>
      <c r="B39" s="9" t="inlineStr">
        <is>
          <t>OIDC</t>
        </is>
      </c>
      <c r="C39" s="9" t="inlineStr">
        <is>
          <t>Decommission review</t>
        </is>
      </c>
      <c r="D39" s="9" t="n">
        <v>3</v>
      </c>
      <c r="E39" s="9" t="inlineStr">
        <is>
          <t>Test with pilot users</t>
        </is>
      </c>
      <c r="F39" s="9" t="inlineStr">
        <is>
          <t>Not Started</t>
        </is>
      </c>
      <c r="G39" s="9" t="inlineStr">
        <is>
          <t>IAM team</t>
        </is>
      </c>
      <c r="H39" s="11" t="n"/>
      <c r="I39" s="10" t="inlineStr">
        <is>
          <t>'</t>
        </is>
      </c>
      <c r="J39" s="9" t="inlineStr">
        <is>
          <t>'</t>
        </is>
      </c>
      <c r="K39" s="9" t="inlineStr">
        <is>
          <t>Ready to build</t>
        </is>
      </c>
    </row>
    <row r="40">
      <c r="A40" s="9" t="inlineStr">
        <is>
          <t>Legacy Intranet SPA</t>
        </is>
      </c>
      <c r="B40" s="9" t="inlineStr">
        <is>
          <t>OIDC</t>
        </is>
      </c>
      <c r="C40" s="9" t="inlineStr">
        <is>
          <t>Decommission review</t>
        </is>
      </c>
      <c r="D40" s="9" t="n">
        <v>4</v>
      </c>
      <c r="E40" s="9" t="inlineStr">
        <is>
          <t>Update the SP / app</t>
        </is>
      </c>
      <c r="F40" s="9" t="inlineStr">
        <is>
          <t>Not Started</t>
        </is>
      </c>
      <c r="G40" s="9" t="inlineStr">
        <is>
          <t>App owner</t>
        </is>
      </c>
      <c r="H40" s="11" t="n"/>
      <c r="I40" s="10" t="inlineStr">
        <is>
          <t>'</t>
        </is>
      </c>
      <c r="J40" s="9" t="inlineStr">
        <is>
          <t>'</t>
        </is>
      </c>
      <c r="K40" s="9" t="inlineStr">
        <is>
          <t>Ready to build</t>
        </is>
      </c>
    </row>
    <row r="41">
      <c r="A41" s="9" t="inlineStr">
        <is>
          <t>Legacy Intranet SPA</t>
        </is>
      </c>
      <c r="B41" s="9" t="inlineStr">
        <is>
          <t>OIDC</t>
        </is>
      </c>
      <c r="C41" s="9" t="inlineStr">
        <is>
          <t>Decommission review</t>
        </is>
      </c>
      <c r="D41" s="9" t="n">
        <v>5</v>
      </c>
      <c r="E41" s="9" t="inlineStr">
        <is>
          <t>Cutover</t>
        </is>
      </c>
      <c r="F41" s="9" t="inlineStr">
        <is>
          <t>Not Started</t>
        </is>
      </c>
      <c r="G41" s="9" t="inlineStr">
        <is>
          <t>IAM team + App owner</t>
        </is>
      </c>
      <c r="H41" s="11" t="n"/>
      <c r="I41" s="10" t="inlineStr">
        <is>
          <t>'</t>
        </is>
      </c>
      <c r="J41" s="9" t="inlineStr">
        <is>
          <t>'</t>
        </is>
      </c>
      <c r="K41" s="9" t="inlineStr">
        <is>
          <t>Ready to build</t>
        </is>
      </c>
    </row>
    <row r="42">
      <c r="A42" s="9" t="inlineStr">
        <is>
          <t>Legacy Intranet SPA</t>
        </is>
      </c>
      <c r="B42" s="9" t="inlineStr">
        <is>
          <t>OIDC</t>
        </is>
      </c>
      <c r="C42" s="9" t="inlineStr">
        <is>
          <t>Decommission review</t>
        </is>
      </c>
      <c r="D42" s="9" t="n">
        <v>6</v>
      </c>
      <c r="E42" s="9" t="inlineStr">
        <is>
          <t>Verify</t>
        </is>
      </c>
      <c r="F42" s="9" t="inlineStr">
        <is>
          <t>Not Started</t>
        </is>
      </c>
      <c r="G42" s="9" t="inlineStr">
        <is>
          <t>App owner</t>
        </is>
      </c>
      <c r="H42" s="11" t="n"/>
      <c r="I42" s="10" t="inlineStr">
        <is>
          <t>'</t>
        </is>
      </c>
      <c r="J42" s="9" t="inlineStr">
        <is>
          <t>'</t>
        </is>
      </c>
      <c r="K42" s="9" t="inlineStr">
        <is>
          <t>Ready to build</t>
        </is>
      </c>
    </row>
    <row r="43">
      <c r="A43" s="9" t="inlineStr">
        <is>
          <t>Legacy Intranet SPA</t>
        </is>
      </c>
      <c r="B43" s="9" t="inlineStr">
        <is>
          <t>OIDC</t>
        </is>
      </c>
      <c r="C43" s="9" t="inlineStr">
        <is>
          <t>Decommission review</t>
        </is>
      </c>
      <c r="D43" s="9" t="n">
        <v>7</v>
      </c>
      <c r="E43" s="9" t="inlineStr">
        <is>
          <t>Remove from Okta</t>
        </is>
      </c>
      <c r="F43" s="9" t="inlineStr">
        <is>
          <t>Not Started</t>
        </is>
      </c>
      <c r="G43" s="9" t="inlineStr">
        <is>
          <t>IAM team</t>
        </is>
      </c>
      <c r="H43" s="11" t="n"/>
      <c r="I43" s="10" t="inlineStr">
        <is>
          <t>'</t>
        </is>
      </c>
      <c r="J43" s="9" t="inlineStr">
        <is>
          <t>'</t>
        </is>
      </c>
      <c r="K43" s="9" t="inlineStr">
        <is>
          <t>Ready to build</t>
        </is>
      </c>
    </row>
    <row r="44">
      <c r="A44" s="9" t="inlineStr">
        <is>
          <t>Legacy Travel Booking</t>
        </is>
      </c>
      <c r="B44" s="9" t="inlineStr">
        <is>
          <t>SAML</t>
        </is>
      </c>
      <c r="C44" s="9" t="inlineStr">
        <is>
          <t>Decommission review</t>
        </is>
      </c>
      <c r="D44" s="9" t="n">
        <v>1</v>
      </c>
      <c r="E44" s="9" t="inlineStr">
        <is>
          <t>Prepare directory &amp; decisions</t>
        </is>
      </c>
      <c r="F44" s="9" t="inlineStr">
        <is>
          <t>Not Started</t>
        </is>
      </c>
      <c r="G44" s="9" t="inlineStr">
        <is>
          <t>Directory team</t>
        </is>
      </c>
      <c r="H44" s="11" t="n"/>
      <c r="I44" s="10" t="inlineStr">
        <is>
          <t>'</t>
        </is>
      </c>
      <c r="J44" s="9" t="inlineStr">
        <is>
          <t>'</t>
        </is>
      </c>
      <c r="K44" s="9" t="inlineStr">
        <is>
          <t>Blocked</t>
        </is>
      </c>
    </row>
    <row r="45">
      <c r="A45" s="9" t="inlineStr">
        <is>
          <t>Legacy Travel Booking</t>
        </is>
      </c>
      <c r="B45" s="9" t="inlineStr">
        <is>
          <t>SAML</t>
        </is>
      </c>
      <c r="C45" s="9" t="inlineStr">
        <is>
          <t>Decommission review</t>
        </is>
      </c>
      <c r="D45" s="9" t="n">
        <v>2</v>
      </c>
      <c r="E45" s="9" t="inlineStr">
        <is>
          <t>Build in PingFederate</t>
        </is>
      </c>
      <c r="F45" s="9" t="inlineStr">
        <is>
          <t>Not Started</t>
        </is>
      </c>
      <c r="G45" s="9" t="inlineStr">
        <is>
          <t>IAM team</t>
        </is>
      </c>
      <c r="H45" s="11" t="n"/>
      <c r="I45" s="10" t="inlineStr">
        <is>
          <t>'</t>
        </is>
      </c>
      <c r="J45" s="9" t="inlineStr">
        <is>
          <t>'</t>
        </is>
      </c>
      <c r="K45" s="9" t="inlineStr">
        <is>
          <t>Blocked</t>
        </is>
      </c>
    </row>
    <row r="46">
      <c r="A46" s="9" t="inlineStr">
        <is>
          <t>Legacy Travel Booking</t>
        </is>
      </c>
      <c r="B46" s="9" t="inlineStr">
        <is>
          <t>SAML</t>
        </is>
      </c>
      <c r="C46" s="9" t="inlineStr">
        <is>
          <t>Decommission review</t>
        </is>
      </c>
      <c r="D46" s="9" t="n">
        <v>3</v>
      </c>
      <c r="E46" s="9" t="inlineStr">
        <is>
          <t>Test with pilot users</t>
        </is>
      </c>
      <c r="F46" s="9" t="inlineStr">
        <is>
          <t>Not Started</t>
        </is>
      </c>
      <c r="G46" s="9" t="inlineStr">
        <is>
          <t>IAM team</t>
        </is>
      </c>
      <c r="H46" s="11" t="n"/>
      <c r="I46" s="10" t="inlineStr">
        <is>
          <t>'</t>
        </is>
      </c>
      <c r="J46" s="9" t="inlineStr">
        <is>
          <t>'</t>
        </is>
      </c>
      <c r="K46" s="9" t="inlineStr">
        <is>
          <t>Blocked</t>
        </is>
      </c>
    </row>
    <row r="47">
      <c r="A47" s="9" t="inlineStr">
        <is>
          <t>Legacy Travel Booking</t>
        </is>
      </c>
      <c r="B47" s="9" t="inlineStr">
        <is>
          <t>SAML</t>
        </is>
      </c>
      <c r="C47" s="9" t="inlineStr">
        <is>
          <t>Decommission review</t>
        </is>
      </c>
      <c r="D47" s="9" t="n">
        <v>4</v>
      </c>
      <c r="E47" s="9" t="inlineStr">
        <is>
          <t>Update the SP / app</t>
        </is>
      </c>
      <c r="F47" s="9" t="inlineStr">
        <is>
          <t>Not Started</t>
        </is>
      </c>
      <c r="G47" s="9" t="inlineStr">
        <is>
          <t>App owner</t>
        </is>
      </c>
      <c r="H47" s="11" t="n"/>
      <c r="I47" s="10" t="inlineStr">
        <is>
          <t>'</t>
        </is>
      </c>
      <c r="J47" s="9" t="inlineStr">
        <is>
          <t>'</t>
        </is>
      </c>
      <c r="K47" s="9" t="inlineStr">
        <is>
          <t>Blocked</t>
        </is>
      </c>
    </row>
    <row r="48">
      <c r="A48" s="9" t="inlineStr">
        <is>
          <t>Legacy Travel Booking</t>
        </is>
      </c>
      <c r="B48" s="9" t="inlineStr">
        <is>
          <t>SAML</t>
        </is>
      </c>
      <c r="C48" s="9" t="inlineStr">
        <is>
          <t>Decommission review</t>
        </is>
      </c>
      <c r="D48" s="9" t="n">
        <v>5</v>
      </c>
      <c r="E48" s="9" t="inlineStr">
        <is>
          <t>Cutover</t>
        </is>
      </c>
      <c r="F48" s="9" t="inlineStr">
        <is>
          <t>Not Started</t>
        </is>
      </c>
      <c r="G48" s="9" t="inlineStr">
        <is>
          <t>IAM team + App owner</t>
        </is>
      </c>
      <c r="H48" s="11" t="n"/>
      <c r="I48" s="10" t="inlineStr">
        <is>
          <t>'</t>
        </is>
      </c>
      <c r="J48" s="9" t="inlineStr">
        <is>
          <t>'</t>
        </is>
      </c>
      <c r="K48" s="9" t="inlineStr">
        <is>
          <t>Blocked</t>
        </is>
      </c>
    </row>
    <row r="49">
      <c r="A49" s="9" t="inlineStr">
        <is>
          <t>Legacy Travel Booking</t>
        </is>
      </c>
      <c r="B49" s="9" t="inlineStr">
        <is>
          <t>SAML</t>
        </is>
      </c>
      <c r="C49" s="9" t="inlineStr">
        <is>
          <t>Decommission review</t>
        </is>
      </c>
      <c r="D49" s="9" t="n">
        <v>6</v>
      </c>
      <c r="E49" s="9" t="inlineStr">
        <is>
          <t>Verify</t>
        </is>
      </c>
      <c r="F49" s="9" t="inlineStr">
        <is>
          <t>Not Started</t>
        </is>
      </c>
      <c r="G49" s="9" t="inlineStr">
        <is>
          <t>App owner</t>
        </is>
      </c>
      <c r="H49" s="11" t="n"/>
      <c r="I49" s="10" t="inlineStr">
        <is>
          <t>'</t>
        </is>
      </c>
      <c r="J49" s="9" t="inlineStr">
        <is>
          <t>'</t>
        </is>
      </c>
      <c r="K49" s="9" t="inlineStr">
        <is>
          <t>Blocked</t>
        </is>
      </c>
    </row>
    <row r="50">
      <c r="A50" s="9" t="inlineStr">
        <is>
          <t>Legacy Travel Booking</t>
        </is>
      </c>
      <c r="B50" s="9" t="inlineStr">
        <is>
          <t>SAML</t>
        </is>
      </c>
      <c r="C50" s="9" t="inlineStr">
        <is>
          <t>Decommission review</t>
        </is>
      </c>
      <c r="D50" s="9" t="n">
        <v>7</v>
      </c>
      <c r="E50" s="9" t="inlineStr">
        <is>
          <t>Remove from Okta</t>
        </is>
      </c>
      <c r="F50" s="9" t="inlineStr">
        <is>
          <t>Not Started</t>
        </is>
      </c>
      <c r="G50" s="9" t="inlineStr">
        <is>
          <t>IAM team</t>
        </is>
      </c>
      <c r="H50" s="11" t="n"/>
      <c r="I50" s="10" t="inlineStr">
        <is>
          <t>'</t>
        </is>
      </c>
      <c r="J50" s="9" t="inlineStr">
        <is>
          <t>'</t>
        </is>
      </c>
      <c r="K50" s="9" t="inlineStr">
        <is>
          <t>Blocked</t>
        </is>
      </c>
    </row>
    <row r="51">
      <c r="A51" s="9" t="inlineStr">
        <is>
          <t>Mobile Expenses</t>
        </is>
      </c>
      <c r="B51" s="9" t="inlineStr">
        <is>
          <t>OIDC</t>
        </is>
      </c>
      <c r="C51" s="9" t="inlineStr">
        <is>
          <t>Wave 1</t>
        </is>
      </c>
      <c r="D51" s="9" t="n">
        <v>1</v>
      </c>
      <c r="E51" s="9" t="inlineStr">
        <is>
          <t>Prepare directory &amp; decisions</t>
        </is>
      </c>
      <c r="F51" s="9" t="inlineStr">
        <is>
          <t>Not Started</t>
        </is>
      </c>
      <c r="G51" s="9" t="inlineStr">
        <is>
          <t>Directory team</t>
        </is>
      </c>
      <c r="H51" s="11" t="n"/>
      <c r="I51" s="10" t="inlineStr">
        <is>
          <t>'</t>
        </is>
      </c>
      <c r="J51" s="9" t="inlineStr">
        <is>
          <t>'</t>
        </is>
      </c>
      <c r="K51" s="9" t="inlineStr">
        <is>
          <t>Ready to build</t>
        </is>
      </c>
    </row>
    <row r="52">
      <c r="A52" s="9" t="inlineStr">
        <is>
          <t>Mobile Expenses</t>
        </is>
      </c>
      <c r="B52" s="9" t="inlineStr">
        <is>
          <t>OIDC</t>
        </is>
      </c>
      <c r="C52" s="9" t="inlineStr">
        <is>
          <t>Wave 1</t>
        </is>
      </c>
      <c r="D52" s="9" t="n">
        <v>2</v>
      </c>
      <c r="E52" s="9" t="inlineStr">
        <is>
          <t>Build in PingFederate</t>
        </is>
      </c>
      <c r="F52" s="9" t="inlineStr">
        <is>
          <t>Not Started</t>
        </is>
      </c>
      <c r="G52" s="9" t="inlineStr">
        <is>
          <t>IAM team</t>
        </is>
      </c>
      <c r="H52" s="11" t="n"/>
      <c r="I52" s="10" t="inlineStr">
        <is>
          <t>'</t>
        </is>
      </c>
      <c r="J52" s="9" t="inlineStr">
        <is>
          <t>'</t>
        </is>
      </c>
      <c r="K52" s="9" t="inlineStr">
        <is>
          <t>Ready to build</t>
        </is>
      </c>
    </row>
    <row r="53">
      <c r="A53" s="9" t="inlineStr">
        <is>
          <t>Mobile Expenses</t>
        </is>
      </c>
      <c r="B53" s="9" t="inlineStr">
        <is>
          <t>OIDC</t>
        </is>
      </c>
      <c r="C53" s="9" t="inlineStr">
        <is>
          <t>Wave 1</t>
        </is>
      </c>
      <c r="D53" s="9" t="n">
        <v>3</v>
      </c>
      <c r="E53" s="9" t="inlineStr">
        <is>
          <t>Test with pilot users</t>
        </is>
      </c>
      <c r="F53" s="9" t="inlineStr">
        <is>
          <t>Not Started</t>
        </is>
      </c>
      <c r="G53" s="9" t="inlineStr">
        <is>
          <t>IAM team</t>
        </is>
      </c>
      <c r="H53" s="11" t="n"/>
      <c r="I53" s="10" t="inlineStr">
        <is>
          <t>'</t>
        </is>
      </c>
      <c r="J53" s="9" t="inlineStr">
        <is>
          <t>'</t>
        </is>
      </c>
      <c r="K53" s="9" t="inlineStr">
        <is>
          <t>Ready to build</t>
        </is>
      </c>
    </row>
    <row r="54">
      <c r="A54" s="9" t="inlineStr">
        <is>
          <t>Mobile Expenses</t>
        </is>
      </c>
      <c r="B54" s="9" t="inlineStr">
        <is>
          <t>OIDC</t>
        </is>
      </c>
      <c r="C54" s="9" t="inlineStr">
        <is>
          <t>Wave 1</t>
        </is>
      </c>
      <c r="D54" s="9" t="n">
        <v>4</v>
      </c>
      <c r="E54" s="9" t="inlineStr">
        <is>
          <t>Update the SP / app</t>
        </is>
      </c>
      <c r="F54" s="9" t="inlineStr">
        <is>
          <t>Not Started</t>
        </is>
      </c>
      <c r="G54" s="9" t="inlineStr">
        <is>
          <t>App owner</t>
        </is>
      </c>
      <c r="H54" s="11" t="n"/>
      <c r="I54" s="10" t="inlineStr">
        <is>
          <t>'</t>
        </is>
      </c>
      <c r="J54" s="9" t="inlineStr">
        <is>
          <t>'</t>
        </is>
      </c>
      <c r="K54" s="9" t="inlineStr">
        <is>
          <t>Ready to build</t>
        </is>
      </c>
    </row>
    <row r="55">
      <c r="A55" s="9" t="inlineStr">
        <is>
          <t>Mobile Expenses</t>
        </is>
      </c>
      <c r="B55" s="9" t="inlineStr">
        <is>
          <t>OIDC</t>
        </is>
      </c>
      <c r="C55" s="9" t="inlineStr">
        <is>
          <t>Wave 1</t>
        </is>
      </c>
      <c r="D55" s="9" t="n">
        <v>5</v>
      </c>
      <c r="E55" s="9" t="inlineStr">
        <is>
          <t>Cutover</t>
        </is>
      </c>
      <c r="F55" s="9" t="inlineStr">
        <is>
          <t>Not Started</t>
        </is>
      </c>
      <c r="G55" s="9" t="inlineStr">
        <is>
          <t>IAM team + App owner</t>
        </is>
      </c>
      <c r="H55" s="11" t="n"/>
      <c r="I55" s="10" t="inlineStr">
        <is>
          <t>'</t>
        </is>
      </c>
      <c r="J55" s="9" t="inlineStr">
        <is>
          <t>'</t>
        </is>
      </c>
      <c r="K55" s="9" t="inlineStr">
        <is>
          <t>Ready to build</t>
        </is>
      </c>
    </row>
    <row r="56">
      <c r="A56" s="9" t="inlineStr">
        <is>
          <t>Mobile Expenses</t>
        </is>
      </c>
      <c r="B56" s="9" t="inlineStr">
        <is>
          <t>OIDC</t>
        </is>
      </c>
      <c r="C56" s="9" t="inlineStr">
        <is>
          <t>Wave 1</t>
        </is>
      </c>
      <c r="D56" s="9" t="n">
        <v>6</v>
      </c>
      <c r="E56" s="9" t="inlineStr">
        <is>
          <t>Verify</t>
        </is>
      </c>
      <c r="F56" s="9" t="inlineStr">
        <is>
          <t>Not Started</t>
        </is>
      </c>
      <c r="G56" s="9" t="inlineStr">
        <is>
          <t>App owner</t>
        </is>
      </c>
      <c r="H56" s="11" t="n"/>
      <c r="I56" s="10" t="inlineStr">
        <is>
          <t>'</t>
        </is>
      </c>
      <c r="J56" s="9" t="inlineStr">
        <is>
          <t>'</t>
        </is>
      </c>
      <c r="K56" s="9" t="inlineStr">
        <is>
          <t>Ready to build</t>
        </is>
      </c>
    </row>
    <row r="57">
      <c r="A57" s="9" t="inlineStr">
        <is>
          <t>Mobile Expenses</t>
        </is>
      </c>
      <c r="B57" s="9" t="inlineStr">
        <is>
          <t>OIDC</t>
        </is>
      </c>
      <c r="C57" s="9" t="inlineStr">
        <is>
          <t>Wave 1</t>
        </is>
      </c>
      <c r="D57" s="9" t="n">
        <v>7</v>
      </c>
      <c r="E57" s="9" t="inlineStr">
        <is>
          <t>Remove from Okta</t>
        </is>
      </c>
      <c r="F57" s="9" t="inlineStr">
        <is>
          <t>Not Started</t>
        </is>
      </c>
      <c r="G57" s="9" t="inlineStr">
        <is>
          <t>IAM team</t>
        </is>
      </c>
      <c r="H57" s="11" t="n"/>
      <c r="I57" s="10" t="inlineStr">
        <is>
          <t>'</t>
        </is>
      </c>
      <c r="J57" s="9" t="inlineStr">
        <is>
          <t>'</t>
        </is>
      </c>
      <c r="K57" s="9" t="inlineStr">
        <is>
          <t>Ready to build</t>
        </is>
      </c>
    </row>
    <row r="58">
      <c r="A58" s="9" t="inlineStr">
        <is>
          <t>Reporting API</t>
        </is>
      </c>
      <c r="B58" s="9" t="inlineStr">
        <is>
          <t>OIDC</t>
        </is>
      </c>
      <c r="C58" s="9" t="inlineStr">
        <is>
          <t>Wave 1</t>
        </is>
      </c>
      <c r="D58" s="9" t="n">
        <v>1</v>
      </c>
      <c r="E58" s="9" t="inlineStr">
        <is>
          <t>Prepare directory &amp; decisions</t>
        </is>
      </c>
      <c r="F58" s="9" t="inlineStr">
        <is>
          <t>Not Started</t>
        </is>
      </c>
      <c r="G58" s="9" t="inlineStr">
        <is>
          <t>Directory team</t>
        </is>
      </c>
      <c r="H58" s="11" t="n"/>
      <c r="I58" s="10" t="inlineStr">
        <is>
          <t>'</t>
        </is>
      </c>
      <c r="J58" s="9" t="inlineStr">
        <is>
          <t>'</t>
        </is>
      </c>
      <c r="K58" s="9" t="inlineStr">
        <is>
          <t>Built</t>
        </is>
      </c>
    </row>
    <row r="59">
      <c r="A59" s="9" t="inlineStr">
        <is>
          <t>Reporting API</t>
        </is>
      </c>
      <c r="B59" s="9" t="inlineStr">
        <is>
          <t>OIDC</t>
        </is>
      </c>
      <c r="C59" s="9" t="inlineStr">
        <is>
          <t>Wave 1</t>
        </is>
      </c>
      <c r="D59" s="9" t="n">
        <v>2</v>
      </c>
      <c r="E59" s="9" t="inlineStr">
        <is>
          <t>Build in PingFederate</t>
        </is>
      </c>
      <c r="F59" s="9" t="inlineStr">
        <is>
          <t>Not Started</t>
        </is>
      </c>
      <c r="G59" s="9" t="inlineStr">
        <is>
          <t>IAM team</t>
        </is>
      </c>
      <c r="H59" s="11" t="n"/>
      <c r="I59" s="10" t="inlineStr">
        <is>
          <t>'</t>
        </is>
      </c>
      <c r="J59" s="9" t="inlineStr">
        <is>
          <t>'</t>
        </is>
      </c>
      <c r="K59" s="9" t="inlineStr">
        <is>
          <t>Built</t>
        </is>
      </c>
    </row>
    <row r="60">
      <c r="A60" s="9" t="inlineStr">
        <is>
          <t>Reporting API</t>
        </is>
      </c>
      <c r="B60" s="9" t="inlineStr">
        <is>
          <t>OIDC</t>
        </is>
      </c>
      <c r="C60" s="9" t="inlineStr">
        <is>
          <t>Wave 1</t>
        </is>
      </c>
      <c r="D60" s="9" t="n">
        <v>3</v>
      </c>
      <c r="E60" s="9" t="inlineStr">
        <is>
          <t>Test with pilot users</t>
        </is>
      </c>
      <c r="F60" s="9" t="inlineStr">
        <is>
          <t>Not Started</t>
        </is>
      </c>
      <c r="G60" s="9" t="inlineStr">
        <is>
          <t>IAM team</t>
        </is>
      </c>
      <c r="H60" s="11" t="n"/>
      <c r="I60" s="10" t="inlineStr">
        <is>
          <t>'</t>
        </is>
      </c>
      <c r="J60" s="9" t="inlineStr">
        <is>
          <t>'</t>
        </is>
      </c>
      <c r="K60" s="9" t="inlineStr">
        <is>
          <t>Built</t>
        </is>
      </c>
    </row>
    <row r="61">
      <c r="A61" s="9" t="inlineStr">
        <is>
          <t>Reporting API</t>
        </is>
      </c>
      <c r="B61" s="9" t="inlineStr">
        <is>
          <t>OIDC</t>
        </is>
      </c>
      <c r="C61" s="9" t="inlineStr">
        <is>
          <t>Wave 1</t>
        </is>
      </c>
      <c r="D61" s="9" t="n">
        <v>4</v>
      </c>
      <c r="E61" s="9" t="inlineStr">
        <is>
          <t>Update the SP / app</t>
        </is>
      </c>
      <c r="F61" s="9" t="inlineStr">
        <is>
          <t>Not Started</t>
        </is>
      </c>
      <c r="G61" s="9" t="inlineStr">
        <is>
          <t>App owner</t>
        </is>
      </c>
      <c r="H61" s="11" t="n"/>
      <c r="I61" s="10" t="inlineStr">
        <is>
          <t>'</t>
        </is>
      </c>
      <c r="J61" s="9" t="inlineStr">
        <is>
          <t>'</t>
        </is>
      </c>
      <c r="K61" s="9" t="inlineStr">
        <is>
          <t>Built</t>
        </is>
      </c>
    </row>
    <row r="62">
      <c r="A62" s="9" t="inlineStr">
        <is>
          <t>Reporting API</t>
        </is>
      </c>
      <c r="B62" s="9" t="inlineStr">
        <is>
          <t>OIDC</t>
        </is>
      </c>
      <c r="C62" s="9" t="inlineStr">
        <is>
          <t>Wave 1</t>
        </is>
      </c>
      <c r="D62" s="9" t="n">
        <v>5</v>
      </c>
      <c r="E62" s="9" t="inlineStr">
        <is>
          <t>Cutover</t>
        </is>
      </c>
      <c r="F62" s="9" t="inlineStr">
        <is>
          <t>Not Started</t>
        </is>
      </c>
      <c r="G62" s="9" t="inlineStr">
        <is>
          <t>IAM team + App owner</t>
        </is>
      </c>
      <c r="H62" s="11" t="n"/>
      <c r="I62" s="10" t="inlineStr">
        <is>
          <t>'</t>
        </is>
      </c>
      <c r="J62" s="9" t="inlineStr">
        <is>
          <t>'</t>
        </is>
      </c>
      <c r="K62" s="9" t="inlineStr">
        <is>
          <t>Built</t>
        </is>
      </c>
    </row>
    <row r="63">
      <c r="A63" s="9" t="inlineStr">
        <is>
          <t>Reporting API</t>
        </is>
      </c>
      <c r="B63" s="9" t="inlineStr">
        <is>
          <t>OIDC</t>
        </is>
      </c>
      <c r="C63" s="9" t="inlineStr">
        <is>
          <t>Wave 1</t>
        </is>
      </c>
      <c r="D63" s="9" t="n">
        <v>6</v>
      </c>
      <c r="E63" s="9" t="inlineStr">
        <is>
          <t>Verify</t>
        </is>
      </c>
      <c r="F63" s="9" t="inlineStr">
        <is>
          <t>Not Started</t>
        </is>
      </c>
      <c r="G63" s="9" t="inlineStr">
        <is>
          <t>App owner</t>
        </is>
      </c>
      <c r="H63" s="11" t="n"/>
      <c r="I63" s="10" t="inlineStr">
        <is>
          <t>'</t>
        </is>
      </c>
      <c r="J63" s="9" t="inlineStr">
        <is>
          <t>'</t>
        </is>
      </c>
      <c r="K63" s="9" t="inlineStr">
        <is>
          <t>Built</t>
        </is>
      </c>
    </row>
    <row r="64">
      <c r="A64" s="9" t="inlineStr">
        <is>
          <t>Reporting API</t>
        </is>
      </c>
      <c r="B64" s="9" t="inlineStr">
        <is>
          <t>OIDC</t>
        </is>
      </c>
      <c r="C64" s="9" t="inlineStr">
        <is>
          <t>Wave 1</t>
        </is>
      </c>
      <c r="D64" s="9" t="n">
        <v>7</v>
      </c>
      <c r="E64" s="9" t="inlineStr">
        <is>
          <t>Remove from Okta</t>
        </is>
      </c>
      <c r="F64" s="9" t="inlineStr">
        <is>
          <t>Not Started</t>
        </is>
      </c>
      <c r="G64" s="9" t="inlineStr">
        <is>
          <t>IAM team</t>
        </is>
      </c>
      <c r="H64" s="11" t="n"/>
      <c r="I64" s="10" t="inlineStr">
        <is>
          <t>'</t>
        </is>
      </c>
      <c r="J64" s="9" t="inlineStr">
        <is>
          <t>'</t>
        </is>
      </c>
      <c r="K64" s="9" t="inlineStr">
        <is>
          <t>Built</t>
        </is>
      </c>
    </row>
    <row r="65">
      <c r="A65" s="9" t="inlineStr">
        <is>
          <t>Salesforce</t>
        </is>
      </c>
      <c r="B65" s="9" t="inlineStr">
        <is>
          <t>SAML</t>
        </is>
      </c>
      <c r="C65" s="9" t="inlineStr">
        <is>
          <t>Wave 2</t>
        </is>
      </c>
      <c r="D65" s="9" t="n">
        <v>1</v>
      </c>
      <c r="E65" s="9" t="inlineStr">
        <is>
          <t>Prepare directory &amp; decisions</t>
        </is>
      </c>
      <c r="F65" s="9" t="inlineStr">
        <is>
          <t>Not Started</t>
        </is>
      </c>
      <c r="G65" s="9" t="inlineStr">
        <is>
          <t>Directory team</t>
        </is>
      </c>
      <c r="H65" s="11" t="n"/>
      <c r="I65" s="10" t="inlineStr">
        <is>
          <t>'</t>
        </is>
      </c>
      <c r="J65" s="9" t="inlineStr">
        <is>
          <t>'</t>
        </is>
      </c>
      <c r="K65" s="9" t="inlineStr">
        <is>
          <t>Ready to build</t>
        </is>
      </c>
    </row>
    <row r="66">
      <c r="A66" s="9" t="inlineStr">
        <is>
          <t>Salesforce</t>
        </is>
      </c>
      <c r="B66" s="9" t="inlineStr">
        <is>
          <t>SAML</t>
        </is>
      </c>
      <c r="C66" s="9" t="inlineStr">
        <is>
          <t>Wave 2</t>
        </is>
      </c>
      <c r="D66" s="9" t="n">
        <v>2</v>
      </c>
      <c r="E66" s="9" t="inlineStr">
        <is>
          <t>Build in PingFederate</t>
        </is>
      </c>
      <c r="F66" s="9" t="inlineStr">
        <is>
          <t>Not Started</t>
        </is>
      </c>
      <c r="G66" s="9" t="inlineStr">
        <is>
          <t>IAM team</t>
        </is>
      </c>
      <c r="H66" s="11" t="n"/>
      <c r="I66" s="10" t="inlineStr">
        <is>
          <t>'</t>
        </is>
      </c>
      <c r="J66" s="9" t="inlineStr">
        <is>
          <t>'</t>
        </is>
      </c>
      <c r="K66" s="9" t="inlineStr">
        <is>
          <t>Ready to build</t>
        </is>
      </c>
    </row>
    <row r="67">
      <c r="A67" s="9" t="inlineStr">
        <is>
          <t>Salesforce</t>
        </is>
      </c>
      <c r="B67" s="9" t="inlineStr">
        <is>
          <t>SAML</t>
        </is>
      </c>
      <c r="C67" s="9" t="inlineStr">
        <is>
          <t>Wave 2</t>
        </is>
      </c>
      <c r="D67" s="9" t="n">
        <v>3</v>
      </c>
      <c r="E67" s="9" t="inlineStr">
        <is>
          <t>Test with pilot users</t>
        </is>
      </c>
      <c r="F67" s="9" t="inlineStr">
        <is>
          <t>Not Started</t>
        </is>
      </c>
      <c r="G67" s="9" t="inlineStr">
        <is>
          <t>IAM team</t>
        </is>
      </c>
      <c r="H67" s="11" t="n"/>
      <c r="I67" s="10" t="inlineStr">
        <is>
          <t>'</t>
        </is>
      </c>
      <c r="J67" s="9" t="inlineStr">
        <is>
          <t>'</t>
        </is>
      </c>
      <c r="K67" s="9" t="inlineStr">
        <is>
          <t>Ready to build</t>
        </is>
      </c>
    </row>
    <row r="68">
      <c r="A68" s="9" t="inlineStr">
        <is>
          <t>Salesforce</t>
        </is>
      </c>
      <c r="B68" s="9" t="inlineStr">
        <is>
          <t>SAML</t>
        </is>
      </c>
      <c r="C68" s="9" t="inlineStr">
        <is>
          <t>Wave 2</t>
        </is>
      </c>
      <c r="D68" s="9" t="n">
        <v>4</v>
      </c>
      <c r="E68" s="9" t="inlineStr">
        <is>
          <t>Update the SP / app</t>
        </is>
      </c>
      <c r="F68" s="9" t="inlineStr">
        <is>
          <t>Not Started</t>
        </is>
      </c>
      <c r="G68" s="9" t="inlineStr">
        <is>
          <t>App owner</t>
        </is>
      </c>
      <c r="H68" s="11" t="n"/>
      <c r="I68" s="10" t="inlineStr">
        <is>
          <t>'</t>
        </is>
      </c>
      <c r="J68" s="9" t="inlineStr">
        <is>
          <t>'</t>
        </is>
      </c>
      <c r="K68" s="9" t="inlineStr">
        <is>
          <t>Ready to build</t>
        </is>
      </c>
    </row>
    <row r="69">
      <c r="A69" s="9" t="inlineStr">
        <is>
          <t>Salesforce</t>
        </is>
      </c>
      <c r="B69" s="9" t="inlineStr">
        <is>
          <t>SAML</t>
        </is>
      </c>
      <c r="C69" s="9" t="inlineStr">
        <is>
          <t>Wave 2</t>
        </is>
      </c>
      <c r="D69" s="9" t="n">
        <v>5</v>
      </c>
      <c r="E69" s="9" t="inlineStr">
        <is>
          <t>Cutover</t>
        </is>
      </c>
      <c r="F69" s="9" t="inlineStr">
        <is>
          <t>Not Started</t>
        </is>
      </c>
      <c r="G69" s="9" t="inlineStr">
        <is>
          <t>IAM team + App owner</t>
        </is>
      </c>
      <c r="H69" s="11" t="n"/>
      <c r="I69" s="10" t="inlineStr">
        <is>
          <t>'</t>
        </is>
      </c>
      <c r="J69" s="9" t="inlineStr">
        <is>
          <t>'</t>
        </is>
      </c>
      <c r="K69" s="9" t="inlineStr">
        <is>
          <t>Ready to build</t>
        </is>
      </c>
    </row>
    <row r="70">
      <c r="A70" s="9" t="inlineStr">
        <is>
          <t>Salesforce</t>
        </is>
      </c>
      <c r="B70" s="9" t="inlineStr">
        <is>
          <t>SAML</t>
        </is>
      </c>
      <c r="C70" s="9" t="inlineStr">
        <is>
          <t>Wave 2</t>
        </is>
      </c>
      <c r="D70" s="9" t="n">
        <v>6</v>
      </c>
      <c r="E70" s="9" t="inlineStr">
        <is>
          <t>Verify</t>
        </is>
      </c>
      <c r="F70" s="9" t="inlineStr">
        <is>
          <t>Not Started</t>
        </is>
      </c>
      <c r="G70" s="9" t="inlineStr">
        <is>
          <t>App owner</t>
        </is>
      </c>
      <c r="H70" s="11" t="n"/>
      <c r="I70" s="10" t="inlineStr">
        <is>
          <t>'</t>
        </is>
      </c>
      <c r="J70" s="9" t="inlineStr">
        <is>
          <t>'</t>
        </is>
      </c>
      <c r="K70" s="9" t="inlineStr">
        <is>
          <t>Ready to build</t>
        </is>
      </c>
    </row>
    <row r="71">
      <c r="A71" s="9" t="inlineStr">
        <is>
          <t>Salesforce</t>
        </is>
      </c>
      <c r="B71" s="9" t="inlineStr">
        <is>
          <t>SAML</t>
        </is>
      </c>
      <c r="C71" s="9" t="inlineStr">
        <is>
          <t>Wave 2</t>
        </is>
      </c>
      <c r="D71" s="9" t="n">
        <v>7</v>
      </c>
      <c r="E71" s="9" t="inlineStr">
        <is>
          <t>Remove from Okta</t>
        </is>
      </c>
      <c r="F71" s="9" t="inlineStr">
        <is>
          <t>Not Started</t>
        </is>
      </c>
      <c r="G71" s="9" t="inlineStr">
        <is>
          <t>IAM team</t>
        </is>
      </c>
      <c r="H71" s="11" t="n"/>
      <c r="I71" s="10" t="inlineStr">
        <is>
          <t>'</t>
        </is>
      </c>
      <c r="J71" s="9" t="inlineStr">
        <is>
          <t>'</t>
        </is>
      </c>
      <c r="K71" s="9" t="inlineStr">
        <is>
          <t>Ready to build</t>
        </is>
      </c>
    </row>
    <row r="72">
      <c r="A72" s="9" t="inlineStr">
        <is>
          <t>ServiceNow</t>
        </is>
      </c>
      <c r="B72" s="9" t="inlineStr">
        <is>
          <t>SAML</t>
        </is>
      </c>
      <c r="C72" s="9" t="inlineStr">
        <is>
          <t>Wave 1</t>
        </is>
      </c>
      <c r="D72" s="9" t="n">
        <v>1</v>
      </c>
      <c r="E72" s="9" t="inlineStr">
        <is>
          <t>Prepare directory &amp; decisions</t>
        </is>
      </c>
      <c r="F72" s="9" t="inlineStr">
        <is>
          <t>Not Started</t>
        </is>
      </c>
      <c r="G72" s="9" t="inlineStr">
        <is>
          <t>Directory team</t>
        </is>
      </c>
      <c r="H72" s="11" t="n"/>
      <c r="I72" s="10" t="inlineStr">
        <is>
          <t>'</t>
        </is>
      </c>
      <c r="J72" s="9" t="inlineStr">
        <is>
          <t>'</t>
        </is>
      </c>
      <c r="K72" s="9" t="inlineStr">
        <is>
          <t>Built</t>
        </is>
      </c>
    </row>
    <row r="73">
      <c r="A73" s="9" t="inlineStr">
        <is>
          <t>ServiceNow</t>
        </is>
      </c>
      <c r="B73" s="9" t="inlineStr">
        <is>
          <t>SAML</t>
        </is>
      </c>
      <c r="C73" s="9" t="inlineStr">
        <is>
          <t>Wave 1</t>
        </is>
      </c>
      <c r="D73" s="9" t="n">
        <v>2</v>
      </c>
      <c r="E73" s="9" t="inlineStr">
        <is>
          <t>Build in PingFederate</t>
        </is>
      </c>
      <c r="F73" s="9" t="inlineStr">
        <is>
          <t>Not Started</t>
        </is>
      </c>
      <c r="G73" s="9" t="inlineStr">
        <is>
          <t>IAM team</t>
        </is>
      </c>
      <c r="H73" s="11" t="n"/>
      <c r="I73" s="10" t="inlineStr">
        <is>
          <t>'</t>
        </is>
      </c>
      <c r="J73" s="9" t="inlineStr">
        <is>
          <t>'</t>
        </is>
      </c>
      <c r="K73" s="9" t="inlineStr">
        <is>
          <t>Built</t>
        </is>
      </c>
    </row>
    <row r="74">
      <c r="A74" s="9" t="inlineStr">
        <is>
          <t>ServiceNow</t>
        </is>
      </c>
      <c r="B74" s="9" t="inlineStr">
        <is>
          <t>SAML</t>
        </is>
      </c>
      <c r="C74" s="9" t="inlineStr">
        <is>
          <t>Wave 1</t>
        </is>
      </c>
      <c r="D74" s="9" t="n">
        <v>3</v>
      </c>
      <c r="E74" s="9" t="inlineStr">
        <is>
          <t>Test with pilot users</t>
        </is>
      </c>
      <c r="F74" s="9" t="inlineStr">
        <is>
          <t>Not Started</t>
        </is>
      </c>
      <c r="G74" s="9" t="inlineStr">
        <is>
          <t>IAM team</t>
        </is>
      </c>
      <c r="H74" s="11" t="n"/>
      <c r="I74" s="10" t="inlineStr">
        <is>
          <t>'</t>
        </is>
      </c>
      <c r="J74" s="9" t="inlineStr">
        <is>
          <t>'</t>
        </is>
      </c>
      <c r="K74" s="9" t="inlineStr">
        <is>
          <t>Built</t>
        </is>
      </c>
    </row>
    <row r="75">
      <c r="A75" s="9" t="inlineStr">
        <is>
          <t>ServiceNow</t>
        </is>
      </c>
      <c r="B75" s="9" t="inlineStr">
        <is>
          <t>SAML</t>
        </is>
      </c>
      <c r="C75" s="9" t="inlineStr">
        <is>
          <t>Wave 1</t>
        </is>
      </c>
      <c r="D75" s="9" t="n">
        <v>4</v>
      </c>
      <c r="E75" s="9" t="inlineStr">
        <is>
          <t>Update the SP / app</t>
        </is>
      </c>
      <c r="F75" s="9" t="inlineStr">
        <is>
          <t>Not Started</t>
        </is>
      </c>
      <c r="G75" s="9" t="inlineStr">
        <is>
          <t>App owner</t>
        </is>
      </c>
      <c r="H75" s="11" t="n"/>
      <c r="I75" s="10" t="inlineStr">
        <is>
          <t>'</t>
        </is>
      </c>
      <c r="J75" s="9" t="inlineStr">
        <is>
          <t>'</t>
        </is>
      </c>
      <c r="K75" s="9" t="inlineStr">
        <is>
          <t>Built</t>
        </is>
      </c>
    </row>
    <row r="76">
      <c r="A76" s="9" t="inlineStr">
        <is>
          <t>ServiceNow</t>
        </is>
      </c>
      <c r="B76" s="9" t="inlineStr">
        <is>
          <t>SAML</t>
        </is>
      </c>
      <c r="C76" s="9" t="inlineStr">
        <is>
          <t>Wave 1</t>
        </is>
      </c>
      <c r="D76" s="9" t="n">
        <v>5</v>
      </c>
      <c r="E76" s="9" t="inlineStr">
        <is>
          <t>Cutover</t>
        </is>
      </c>
      <c r="F76" s="9" t="inlineStr">
        <is>
          <t>Not Started</t>
        </is>
      </c>
      <c r="G76" s="9" t="inlineStr">
        <is>
          <t>IAM team + App owner</t>
        </is>
      </c>
      <c r="H76" s="11" t="n"/>
      <c r="I76" s="10" t="inlineStr">
        <is>
          <t>'</t>
        </is>
      </c>
      <c r="J76" s="9" t="inlineStr">
        <is>
          <t>'</t>
        </is>
      </c>
      <c r="K76" s="9" t="inlineStr">
        <is>
          <t>Built</t>
        </is>
      </c>
    </row>
    <row r="77">
      <c r="A77" s="9" t="inlineStr">
        <is>
          <t>ServiceNow</t>
        </is>
      </c>
      <c r="B77" s="9" t="inlineStr">
        <is>
          <t>SAML</t>
        </is>
      </c>
      <c r="C77" s="9" t="inlineStr">
        <is>
          <t>Wave 1</t>
        </is>
      </c>
      <c r="D77" s="9" t="n">
        <v>6</v>
      </c>
      <c r="E77" s="9" t="inlineStr">
        <is>
          <t>Verify</t>
        </is>
      </c>
      <c r="F77" s="9" t="inlineStr">
        <is>
          <t>Not Started</t>
        </is>
      </c>
      <c r="G77" s="9" t="inlineStr">
        <is>
          <t>App owner</t>
        </is>
      </c>
      <c r="H77" s="11" t="n"/>
      <c r="I77" s="10" t="inlineStr">
        <is>
          <t>'</t>
        </is>
      </c>
      <c r="J77" s="9" t="inlineStr">
        <is>
          <t>'</t>
        </is>
      </c>
      <c r="K77" s="9" t="inlineStr">
        <is>
          <t>Built</t>
        </is>
      </c>
    </row>
    <row r="78">
      <c r="A78" s="9" t="inlineStr">
        <is>
          <t>ServiceNow</t>
        </is>
      </c>
      <c r="B78" s="9" t="inlineStr">
        <is>
          <t>SAML</t>
        </is>
      </c>
      <c r="C78" s="9" t="inlineStr">
        <is>
          <t>Wave 1</t>
        </is>
      </c>
      <c r="D78" s="9" t="n">
        <v>7</v>
      </c>
      <c r="E78" s="9" t="inlineStr">
        <is>
          <t>Remove from Okta</t>
        </is>
      </c>
      <c r="F78" s="9" t="inlineStr">
        <is>
          <t>Not Started</t>
        </is>
      </c>
      <c r="G78" s="9" t="inlineStr">
        <is>
          <t>IAM team</t>
        </is>
      </c>
      <c r="H78" s="11" t="n"/>
      <c r="I78" s="10" t="inlineStr">
        <is>
          <t>'</t>
        </is>
      </c>
      <c r="J78" s="9" t="inlineStr">
        <is>
          <t>'</t>
        </is>
      </c>
      <c r="K78" s="9" t="inlineStr">
        <is>
          <t>Built</t>
        </is>
      </c>
    </row>
  </sheetData>
  <autoFilter ref="A1:K78"/>
  <conditionalFormatting sqref="F2:F78">
    <cfRule type="expression" priority="1" dxfId="0">
      <formula>$F2="Done"</formula>
    </cfRule>
    <cfRule type="expression" priority="2" dxfId="4">
      <formula>$F2="In Progress"</formula>
    </cfRule>
    <cfRule type="expression" priority="3" dxfId="2">
      <formula>$F2="Blocked"</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
  <sheetViews>
    <sheetView showGridLines="1" workbookViewId="0">
      <pane ySplit="1" topLeftCell="A2" activePane="bottomLeft" state="frozen"/>
      <selection pane="bottomLeft" activeCell="A1" sqref="A1"/>
    </sheetView>
  </sheetViews>
  <sheetFormatPr baseColWidth="8" defaultRowHeight="15"/>
  <cols>
    <col width="28" customWidth="1" min="1" max="1"/>
    <col width="18" customWidth="1" min="2" max="2"/>
    <col width="12" customWidth="1" min="3" max="3"/>
    <col width="40" customWidth="1" min="4" max="4"/>
    <col width="14" customWidth="1" min="5" max="5"/>
    <col width="18" customWidth="1" min="6" max="6"/>
    <col width="50" customWidth="1" min="7" max="7"/>
    <col width="22" customWidth="1" min="8" max="8"/>
    <col width="22" customWidth="1" min="9" max="9"/>
    <col width="24" customWidth="1" min="10" max="10"/>
  </cols>
  <sheetData>
    <row r="1" ht="30" customHeight="1">
      <c r="A1" s="8" t="inlineStr">
        <is>
          <t>Application</t>
        </is>
      </c>
      <c r="B1" s="8" t="inlineStr">
        <is>
          <t>Attribute</t>
        </is>
      </c>
      <c r="C1" s="8" t="inlineStr">
        <is>
          <t>Type</t>
        </is>
      </c>
      <c r="D1" s="8" t="inlineStr">
        <is>
          <t>Okta value / filter</t>
        </is>
      </c>
      <c r="E1" s="8" t="inlineStr">
        <is>
          <t>Okta classification</t>
        </is>
      </c>
      <c r="F1" s="8" t="inlineStr">
        <is>
          <t>PingFederate source</t>
        </is>
      </c>
      <c r="G1" s="8" t="inlineStr">
        <is>
          <t>PingFederate detail</t>
        </is>
      </c>
      <c r="H1" s="8" t="inlineStr">
        <is>
          <t>LDAP attributes</t>
        </is>
      </c>
      <c r="I1" s="8" t="inlineStr">
        <is>
          <t>Missing inputs</t>
        </is>
      </c>
      <c r="J1" s="8" t="inlineStr">
        <is>
          <t>Okta-only groups</t>
        </is>
      </c>
    </row>
    <row r="2">
      <c r="A2" s="9" t="inlineStr">
        <is>
          <t>Engineering Wiki (Confluence DC)</t>
        </is>
      </c>
      <c r="B2" s="9" t="inlineStr">
        <is>
          <t>email</t>
        </is>
      </c>
      <c r="C2" s="9" t="inlineStr">
        <is>
          <t>EXPRESSION</t>
        </is>
      </c>
      <c r="D2" s="10" t="inlineStr">
        <is>
          <t>user.email</t>
        </is>
      </c>
      <c r="E2" s="9" t="inlineStr">
        <is>
          <t>DIRECT</t>
        </is>
      </c>
      <c r="F2" s="9" t="inlineStr">
        <is>
          <t>DATA_STORE</t>
        </is>
      </c>
      <c r="G2" s="10" t="inlineStr">
        <is>
          <t>LDAP: mail</t>
        </is>
      </c>
      <c r="H2" s="9" t="inlineStr">
        <is>
          <t>mail</t>
        </is>
      </c>
      <c r="I2" s="9" t="inlineStr">
        <is>
          <t>'</t>
        </is>
      </c>
      <c r="J2" s="9" t="inlineStr">
        <is>
          <t>'</t>
        </is>
      </c>
    </row>
    <row r="3">
      <c r="A3" s="9" t="inlineStr">
        <is>
          <t>Engineering Wiki (Confluence DC)</t>
        </is>
      </c>
      <c r="B3" s="9" t="inlineStr">
        <is>
          <t>fullName</t>
        </is>
      </c>
      <c r="C3" s="9" t="inlineStr">
        <is>
          <t>EXPRESSION</t>
        </is>
      </c>
      <c r="D3" s="10" t="inlineStr">
        <is>
          <t>user.firstName + " " + user.lastName</t>
        </is>
      </c>
      <c r="E3" s="9" t="inlineStr">
        <is>
          <t>COMPLEX</t>
        </is>
      </c>
      <c r="F3" s="9" t="inlineStr">
        <is>
          <t>OGNL</t>
        </is>
      </c>
      <c r="G3" s="10" t="inlineStr">
        <is>
          <t>OGNL needed (&lt;concatenation&gt;); LDAP inputs: givenName, sn</t>
        </is>
      </c>
      <c r="H3" s="9" t="inlineStr">
        <is>
          <t>givenName, sn</t>
        </is>
      </c>
      <c r="I3" s="9" t="inlineStr">
        <is>
          <t>'</t>
        </is>
      </c>
      <c r="J3" s="9" t="inlineStr">
        <is>
          <t>'</t>
        </is>
      </c>
    </row>
    <row r="4">
      <c r="A4" s="9" t="inlineStr">
        <is>
          <t>Engineering Wiki (Confluence DC)</t>
        </is>
      </c>
      <c r="B4" s="9" t="inlineStr">
        <is>
          <t>wikiRole</t>
        </is>
      </c>
      <c r="C4" s="9" t="inlineStr">
        <is>
          <t>EXPRESSION</t>
        </is>
      </c>
      <c r="D4" s="10" t="inlineStr">
        <is>
          <t>user.department == "Engineering" ? "wiki-admin" : "wiki-user"</t>
        </is>
      </c>
      <c r="E4" s="9" t="inlineStr">
        <is>
          <t>COMPLEX</t>
        </is>
      </c>
      <c r="F4" s="9" t="inlineStr">
        <is>
          <t>OGNL</t>
        </is>
      </c>
      <c r="G4" s="10" t="inlineStr">
        <is>
          <t>OGNL needed (&lt;conditional&gt;); LDAP inputs: department</t>
        </is>
      </c>
      <c r="H4" s="9" t="inlineStr">
        <is>
          <t>department</t>
        </is>
      </c>
      <c r="I4" s="9" t="inlineStr">
        <is>
          <t>'</t>
        </is>
      </c>
      <c r="J4" s="9" t="inlineStr">
        <is>
          <t>'</t>
        </is>
      </c>
    </row>
    <row r="5">
      <c r="A5" s="9" t="inlineStr">
        <is>
          <t>Engineering Wiki (Confluence DC)</t>
        </is>
      </c>
      <c r="B5" s="9" t="inlineStr">
        <is>
          <t>groups</t>
        </is>
      </c>
      <c r="C5" s="9" t="inlineStr">
        <is>
          <t>GROUP</t>
        </is>
      </c>
      <c r="D5" s="10" t="inlineStr">
        <is>
          <t>REGEX ENG-.*</t>
        </is>
      </c>
      <c r="E5" s="9" t="inlineStr">
        <is>
          <t>GROUP</t>
        </is>
      </c>
      <c r="F5" s="9" t="inlineStr">
        <is>
          <t>GROUP_LDAP_SEARCH</t>
        </is>
      </c>
      <c r="G5" s="10" t="inlineStr">
        <is>
          <t>Chained LDAP attribute source returning cn, e.g. (&amp;(objectClass=group)(member=&lt;user DN&gt;)(cn=ENG-*))</t>
        </is>
      </c>
      <c r="H5" s="9" t="inlineStr">
        <is>
          <t>cn</t>
        </is>
      </c>
      <c r="I5" s="9" t="inlineStr">
        <is>
          <t>'</t>
        </is>
      </c>
      <c r="J5" s="9" t="inlineStr">
        <is>
          <t>ENG-Contractors</t>
        </is>
      </c>
    </row>
    <row r="6">
      <c r="A6" s="9" t="inlineStr">
        <is>
          <t>Expense Portal</t>
        </is>
      </c>
      <c r="B6" s="9" t="inlineStr">
        <is>
          <t>email</t>
        </is>
      </c>
      <c r="C6" s="9" t="inlineStr">
        <is>
          <t>EXPRESSION</t>
        </is>
      </c>
      <c r="D6" s="10" t="inlineStr">
        <is>
          <t>user.email</t>
        </is>
      </c>
      <c r="E6" s="9" t="inlineStr">
        <is>
          <t>DIRECT</t>
        </is>
      </c>
      <c r="F6" s="9" t="inlineStr">
        <is>
          <t>DATA_STORE</t>
        </is>
      </c>
      <c r="G6" s="10" t="inlineStr">
        <is>
          <t>LDAP: mail</t>
        </is>
      </c>
      <c r="H6" s="9" t="inlineStr">
        <is>
          <t>mail</t>
        </is>
      </c>
      <c r="I6" s="9" t="inlineStr">
        <is>
          <t>'</t>
        </is>
      </c>
      <c r="J6" s="9" t="inlineStr">
        <is>
          <t>'</t>
        </is>
      </c>
    </row>
    <row r="7">
      <c r="A7" s="9" t="inlineStr">
        <is>
          <t>Expense Portal (UAT)</t>
        </is>
      </c>
      <c r="B7" s="9" t="inlineStr">
        <is>
          <t>email</t>
        </is>
      </c>
      <c r="C7" s="9" t="inlineStr">
        <is>
          <t>EXPRESSION</t>
        </is>
      </c>
      <c r="D7" s="10" t="inlineStr">
        <is>
          <t>user.email</t>
        </is>
      </c>
      <c r="E7" s="9" t="inlineStr">
        <is>
          <t>DIRECT</t>
        </is>
      </c>
      <c r="F7" s="9" t="inlineStr">
        <is>
          <t>DATA_STORE</t>
        </is>
      </c>
      <c r="G7" s="10" t="inlineStr">
        <is>
          <t>LDAP: mail</t>
        </is>
      </c>
      <c r="H7" s="9" t="inlineStr">
        <is>
          <t>mail</t>
        </is>
      </c>
      <c r="I7" s="9" t="inlineStr">
        <is>
          <t>'</t>
        </is>
      </c>
      <c r="J7" s="9" t="inlineStr">
        <is>
          <t>'</t>
        </is>
      </c>
    </row>
    <row r="8">
      <c r="A8" s="9" t="inlineStr">
        <is>
          <t>HR Analytics (Tableau)</t>
        </is>
      </c>
      <c r="B8" s="9" t="inlineStr">
        <is>
          <t>firstName</t>
        </is>
      </c>
      <c r="C8" s="9" t="inlineStr">
        <is>
          <t>EXPRESSION</t>
        </is>
      </c>
      <c r="D8" s="10" t="inlineStr">
        <is>
          <t>user.firstName</t>
        </is>
      </c>
      <c r="E8" s="9" t="inlineStr">
        <is>
          <t>DIRECT</t>
        </is>
      </c>
      <c r="F8" s="9" t="inlineStr">
        <is>
          <t>DATA_STORE</t>
        </is>
      </c>
      <c r="G8" s="10" t="inlineStr">
        <is>
          <t>LDAP: givenName</t>
        </is>
      </c>
      <c r="H8" s="9" t="inlineStr">
        <is>
          <t>givenName</t>
        </is>
      </c>
      <c r="I8" s="9" t="inlineStr">
        <is>
          <t>'</t>
        </is>
      </c>
      <c r="J8" s="9" t="inlineStr">
        <is>
          <t>'</t>
        </is>
      </c>
    </row>
    <row r="9">
      <c r="A9" s="9" t="inlineStr">
        <is>
          <t>HR Analytics (Tableau)</t>
        </is>
      </c>
      <c r="B9" s="9" t="inlineStr">
        <is>
          <t>lastName</t>
        </is>
      </c>
      <c r="C9" s="9" t="inlineStr">
        <is>
          <t>EXPRESSION</t>
        </is>
      </c>
      <c r="D9" s="10" t="inlineStr">
        <is>
          <t>user.lastName</t>
        </is>
      </c>
      <c r="E9" s="9" t="inlineStr">
        <is>
          <t>DIRECT</t>
        </is>
      </c>
      <c r="F9" s="9" t="inlineStr">
        <is>
          <t>DATA_STORE</t>
        </is>
      </c>
      <c r="G9" s="10" t="inlineStr">
        <is>
          <t>LDAP: sn</t>
        </is>
      </c>
      <c r="H9" s="9" t="inlineStr">
        <is>
          <t>sn</t>
        </is>
      </c>
      <c r="I9" s="9" t="inlineStr">
        <is>
          <t>'</t>
        </is>
      </c>
      <c r="J9" s="9" t="inlineStr">
        <is>
          <t>'</t>
        </is>
      </c>
    </row>
    <row r="10">
      <c r="A10" s="9" t="inlineStr">
        <is>
          <t>HR Analytics (Tableau)</t>
        </is>
      </c>
      <c r="B10" s="9" t="inlineStr">
        <is>
          <t>email</t>
        </is>
      </c>
      <c r="C10" s="9" t="inlineStr">
        <is>
          <t>EXPRESSION</t>
        </is>
      </c>
      <c r="D10" s="10" t="inlineStr">
        <is>
          <t>user.email</t>
        </is>
      </c>
      <c r="E10" s="9" t="inlineStr">
        <is>
          <t>DIRECT</t>
        </is>
      </c>
      <c r="F10" s="9" t="inlineStr">
        <is>
          <t>DATA_STORE</t>
        </is>
      </c>
      <c r="G10" s="10" t="inlineStr">
        <is>
          <t>LDAP: mail</t>
        </is>
      </c>
      <c r="H10" s="9" t="inlineStr">
        <is>
          <t>mail</t>
        </is>
      </c>
      <c r="I10" s="9" t="inlineStr">
        <is>
          <t>'</t>
        </is>
      </c>
      <c r="J10" s="9" t="inlineStr">
        <is>
          <t>'</t>
        </is>
      </c>
    </row>
    <row r="11">
      <c r="A11" s="9" t="inlineStr">
        <is>
          <t>HR Analytics (Tableau)</t>
        </is>
      </c>
      <c r="B11" s="9" t="inlineStr">
        <is>
          <t>employeeNumber</t>
        </is>
      </c>
      <c r="C11" s="9" t="inlineStr">
        <is>
          <t>EXPRESSION</t>
        </is>
      </c>
      <c r="D11" s="10" t="inlineStr">
        <is>
          <t>user.employeeNumber</t>
        </is>
      </c>
      <c r="E11" s="9" t="inlineStr">
        <is>
          <t>DIRECT</t>
        </is>
      </c>
      <c r="F11" s="9" t="inlineStr">
        <is>
          <t>DATA_STORE</t>
        </is>
      </c>
      <c r="G11" s="10" t="inlineStr">
        <is>
          <t>LDAP: employeeID</t>
        </is>
      </c>
      <c r="H11" s="9" t="inlineStr">
        <is>
          <t>employeeID</t>
        </is>
      </c>
      <c r="I11" s="9" t="inlineStr">
        <is>
          <t>'</t>
        </is>
      </c>
      <c r="J11" s="9" t="inlineStr">
        <is>
          <t>'</t>
        </is>
      </c>
    </row>
    <row r="12">
      <c r="A12" s="9" t="inlineStr">
        <is>
          <t>HR Analytics (Tableau)</t>
        </is>
      </c>
      <c r="B12" s="9" t="inlineStr">
        <is>
          <t>displayName</t>
        </is>
      </c>
      <c r="C12" s="9" t="inlineStr">
        <is>
          <t>EXPRESSION</t>
        </is>
      </c>
      <c r="D12" s="10" t="inlineStr">
        <is>
          <t>user.firstName + " " + user.lastName</t>
        </is>
      </c>
      <c r="E12" s="9" t="inlineStr">
        <is>
          <t>COMPLEX</t>
        </is>
      </c>
      <c r="F12" s="9" t="inlineStr">
        <is>
          <t>OGNL</t>
        </is>
      </c>
      <c r="G12" s="10" t="inlineStr">
        <is>
          <t>OGNL needed (&lt;concatenation&gt;); LDAP inputs: givenName, sn</t>
        </is>
      </c>
      <c r="H12" s="9" t="inlineStr">
        <is>
          <t>givenName, sn</t>
        </is>
      </c>
      <c r="I12" s="9" t="inlineStr">
        <is>
          <t>'</t>
        </is>
      </c>
      <c r="J12" s="9" t="inlineStr">
        <is>
          <t>'</t>
        </is>
      </c>
    </row>
    <row r="13">
      <c r="A13" s="9" t="inlineStr">
        <is>
          <t>HR Analytics (Tableau)</t>
        </is>
      </c>
      <c r="B13" s="9" t="inlineStr">
        <is>
          <t>username</t>
        </is>
      </c>
      <c r="C13" s="9" t="inlineStr">
        <is>
          <t>EXPRESSION</t>
        </is>
      </c>
      <c r="D13" s="10" t="inlineStr">
        <is>
          <t>String.substringBefore(user.login, "@")</t>
        </is>
      </c>
      <c r="E13" s="9" t="inlineStr">
        <is>
          <t>COMPLEX</t>
        </is>
      </c>
      <c r="F13" s="9" t="inlineStr">
        <is>
          <t>OGNL</t>
        </is>
      </c>
      <c r="G13" s="10" t="inlineStr">
        <is>
          <t>OGNL needed (String.substringBefore); LDAP inputs: userPrincipalName</t>
        </is>
      </c>
      <c r="H13" s="9" t="inlineStr">
        <is>
          <t>userPrincipalName</t>
        </is>
      </c>
      <c r="I13" s="9" t="inlineStr">
        <is>
          <t>'</t>
        </is>
      </c>
      <c r="J13" s="9" t="inlineStr">
        <is>
          <t>'</t>
        </is>
      </c>
    </row>
    <row r="14">
      <c r="A14" s="9" t="inlineStr">
        <is>
          <t>HR Analytics (Tableau)</t>
        </is>
      </c>
      <c r="B14" s="9" t="inlineStr">
        <is>
          <t>costCenter</t>
        </is>
      </c>
      <c r="C14" s="9" t="inlineStr">
        <is>
          <t>EXPRESSION</t>
        </is>
      </c>
      <c r="D14" s="10" t="inlineStr">
        <is>
          <t>appuser.costCenter</t>
        </is>
      </c>
      <c r="E14" s="9" t="inlineStr">
        <is>
          <t>DIRECT</t>
        </is>
      </c>
      <c r="F14" s="9" t="inlineStr">
        <is>
          <t>APPUSER</t>
        </is>
      </c>
      <c r="G14" s="10" t="inlineStr">
        <is>
          <t>appuser.costCenter is an Okta app-user attribute; it must be stored in the directory (or derived from groups) first</t>
        </is>
      </c>
      <c r="H14" s="9" t="inlineStr">
        <is>
          <t>'</t>
        </is>
      </c>
      <c r="I14" s="9" t="inlineStr">
        <is>
          <t>appuser.costCenter</t>
        </is>
      </c>
      <c r="J14" s="9" t="inlineStr">
        <is>
          <t>'</t>
        </is>
      </c>
    </row>
    <row r="15">
      <c r="A15" s="9" t="inlineStr">
        <is>
          <t>Legacy Travel Booking</t>
        </is>
      </c>
      <c r="B15" s="9" t="inlineStr">
        <is>
          <t>mail</t>
        </is>
      </c>
      <c r="C15" s="9" t="inlineStr">
        <is>
          <t>EXPRESSION</t>
        </is>
      </c>
      <c r="D15" s="10" t="inlineStr">
        <is>
          <t>user.email</t>
        </is>
      </c>
      <c r="E15" s="9" t="inlineStr">
        <is>
          <t>DIRECT</t>
        </is>
      </c>
      <c r="F15" s="9" t="inlineStr">
        <is>
          <t>DATA_STORE</t>
        </is>
      </c>
      <c r="G15" s="10" t="inlineStr">
        <is>
          <t>LDAP: mail</t>
        </is>
      </c>
      <c r="H15" s="9" t="inlineStr">
        <is>
          <t>mail</t>
        </is>
      </c>
      <c r="I15" s="9" t="inlineStr">
        <is>
          <t>'</t>
        </is>
      </c>
      <c r="J15" s="9" t="inlineStr">
        <is>
          <t>'</t>
        </is>
      </c>
    </row>
  </sheetData>
  <autoFilter ref="A1:J15"/>
  <conditionalFormatting sqref="F2:F15">
    <cfRule type="expression" priority="1" dxfId="0">
      <formula>$F2="DATA_STORE"</formula>
    </cfRule>
    <cfRule type="expression" priority="2" dxfId="0">
      <formula>$F2="TEXT"</formula>
    </cfRule>
    <cfRule type="expression" priority="3" dxfId="5">
      <formula>$F2="GROUP_LDAP_SEARCH"</formula>
    </cfRule>
    <cfRule type="expression" priority="4" dxfId="2">
      <formula>$F2="OGNL"</formula>
    </cfRule>
    <cfRule type="expression" priority="5" dxfId="2">
      <formula>$F2="GROUP_OGNL"</formula>
    </cfRule>
    <cfRule type="expression" priority="6" dxfId="2">
      <formula>$F2="APPUSER"</formula>
    </cfRule>
    <cfRule type="expression" priority="7" dxfId="2">
      <formula>$F2="UNMAPPED"</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
  <sheetViews>
    <sheetView showGridLines="1" workbookViewId="0">
      <pane ySplit="1" topLeftCell="A2" activePane="bottomLeft" state="frozen"/>
      <selection pane="bottomLeft" activeCell="A1" sqref="A1"/>
    </sheetView>
  </sheetViews>
  <sheetFormatPr baseColWidth="8" defaultRowHeight="15"/>
  <cols>
    <col width="30" customWidth="1" min="1" max="1"/>
    <col width="30" customWidth="1" min="2" max="2"/>
    <col width="12" customWidth="1" min="3" max="3"/>
    <col width="60" customWidth="1" min="4" max="4"/>
  </cols>
  <sheetData>
    <row r="1" ht="30" customHeight="1">
      <c r="A1" s="8" t="inlineStr">
        <is>
          <t>Item</t>
        </is>
      </c>
      <c r="B1" s="8" t="inlineStr">
        <is>
          <t>Name</t>
        </is>
      </c>
      <c r="C1" s="8" t="inlineStr">
        <is>
          <t>Apps affected</t>
        </is>
      </c>
      <c r="D1" s="8" t="inlineStr">
        <is>
          <t>Applications</t>
        </is>
      </c>
    </row>
    <row r="2">
      <c r="A2" s="9" t="inlineStr">
        <is>
          <t>Group to create</t>
        </is>
      </c>
      <c r="B2" s="9" t="inlineStr">
        <is>
          <t>ENG-Contractors</t>
        </is>
      </c>
      <c r="C2" s="9" t="n">
        <v>1</v>
      </c>
      <c r="D2" s="10" t="inlineStr">
        <is>
          <t>Engineering Wiki (Confluence DC)</t>
        </is>
      </c>
    </row>
    <row r="3">
      <c r="A3" s="9" t="inlineStr">
        <is>
          <t>Group to create</t>
        </is>
      </c>
      <c r="B3" s="9" t="inlineStr">
        <is>
          <t>Finance</t>
        </is>
      </c>
      <c r="C3" s="9" t="n">
        <v>2</v>
      </c>
      <c r="D3" s="10" t="inlineStr">
        <is>
          <t>Expense Portal (UAT), Mobile Expenses</t>
        </is>
      </c>
    </row>
    <row r="4">
      <c r="A4" s="9" t="inlineStr">
        <is>
          <t>Group to create</t>
        </is>
      </c>
      <c r="B4" s="9" t="inlineStr">
        <is>
          <t>HR-Analysts</t>
        </is>
      </c>
      <c r="C4" s="9" t="n">
        <v>1</v>
      </c>
      <c r="D4" s="10" t="inlineStr">
        <is>
          <t>HR Analytics (Tableau)</t>
        </is>
      </c>
    </row>
    <row r="5">
      <c r="A5" s="9" t="inlineStr">
        <is>
          <t>Group to create</t>
        </is>
      </c>
      <c r="B5" s="9" t="inlineStr">
        <is>
          <t>SN-Approvers</t>
        </is>
      </c>
      <c r="C5" s="9" t="n">
        <v>1</v>
      </c>
      <c r="D5" s="10" t="inlineStr">
        <is>
          <t>ServiceNow</t>
        </is>
      </c>
    </row>
    <row r="6">
      <c r="A6" s="9" t="inlineStr">
        <is>
          <t>Group to create</t>
        </is>
      </c>
      <c r="B6" s="9" t="inlineStr">
        <is>
          <t>SN-ITIL</t>
        </is>
      </c>
      <c r="C6" s="9" t="n">
        <v>1</v>
      </c>
      <c r="D6" s="10" t="inlineStr">
        <is>
          <t>ServiceNow</t>
        </is>
      </c>
    </row>
    <row r="7">
      <c r="A7" s="9" t="inlineStr">
        <is>
          <t>Group to create</t>
        </is>
      </c>
      <c r="B7" s="9" t="inlineStr">
        <is>
          <t>Sales</t>
        </is>
      </c>
      <c r="C7" s="9" t="n">
        <v>2</v>
      </c>
      <c r="D7" s="10" t="inlineStr">
        <is>
          <t>Legacy Intranet SPA, Salesforce</t>
        </is>
      </c>
    </row>
    <row r="8">
      <c r="A8" s="9" t="inlineStr">
        <is>
          <t>LDAP attribute read</t>
        </is>
      </c>
      <c r="B8" s="9" t="inlineStr">
        <is>
          <t>cn</t>
        </is>
      </c>
      <c r="C8" s="9" t="n">
        <v>1</v>
      </c>
      <c r="D8" s="10" t="inlineStr">
        <is>
          <t>Engineering Wiki (Confluence DC)</t>
        </is>
      </c>
    </row>
    <row r="9">
      <c r="A9" s="9" t="inlineStr">
        <is>
          <t>LDAP attribute read</t>
        </is>
      </c>
      <c r="B9" s="9" t="inlineStr">
        <is>
          <t>department</t>
        </is>
      </c>
      <c r="C9" s="9" t="n">
        <v>1</v>
      </c>
      <c r="D9" s="10" t="inlineStr">
        <is>
          <t>Engineering Wiki (Confluence DC)</t>
        </is>
      </c>
    </row>
    <row r="10">
      <c r="A10" s="9" t="inlineStr">
        <is>
          <t>LDAP attribute read</t>
        </is>
      </c>
      <c r="B10" s="9" t="inlineStr">
        <is>
          <t>employeeID</t>
        </is>
      </c>
      <c r="C10" s="9" t="n">
        <v>1</v>
      </c>
      <c r="D10" s="10" t="inlineStr">
        <is>
          <t>HR Analytics (Tableau)</t>
        </is>
      </c>
    </row>
    <row r="11">
      <c r="A11" s="9" t="inlineStr">
        <is>
          <t>LDAP attribute read</t>
        </is>
      </c>
      <c r="B11" s="9" t="inlineStr">
        <is>
          <t>givenName</t>
        </is>
      </c>
      <c r="C11" s="9" t="n">
        <v>2</v>
      </c>
      <c r="D11" s="10" t="inlineStr">
        <is>
          <t>Engineering Wiki (Confluence DC), HR Analytics (Tableau)</t>
        </is>
      </c>
    </row>
    <row r="12">
      <c r="A12" s="9" t="inlineStr">
        <is>
          <t>LDAP attribute read</t>
        </is>
      </c>
      <c r="B12" s="9" t="inlineStr">
        <is>
          <t>mail</t>
        </is>
      </c>
      <c r="C12" s="9" t="n">
        <v>5</v>
      </c>
      <c r="D12" s="10" t="inlineStr">
        <is>
          <t>Engineering Wiki (Confluence DC), Expense Portal, Expense Portal (UAT), HR Analytics (Tableau), Legacy Travel Booking</t>
        </is>
      </c>
    </row>
    <row r="13">
      <c r="A13" s="9" t="inlineStr">
        <is>
          <t>LDAP attribute read</t>
        </is>
      </c>
      <c r="B13" s="9" t="inlineStr">
        <is>
          <t>sn</t>
        </is>
      </c>
      <c r="C13" s="9" t="n">
        <v>2</v>
      </c>
      <c r="D13" s="10" t="inlineStr">
        <is>
          <t>Engineering Wiki (Confluence DC), HR Analytics (Tableau)</t>
        </is>
      </c>
    </row>
    <row r="14">
      <c r="A14" s="9" t="inlineStr">
        <is>
          <t>LDAP attribute read</t>
        </is>
      </c>
      <c r="B14" s="9" t="inlineStr">
        <is>
          <t>userPrincipalName</t>
        </is>
      </c>
      <c r="C14" s="9" t="n">
        <v>2</v>
      </c>
      <c r="D14" s="10" t="inlineStr">
        <is>
          <t>Engineering Wiki (Confluence DC), HR Analytics (Tableau)</t>
        </is>
      </c>
    </row>
    <row r="15">
      <c r="A15" s="9" t="inlineStr">
        <is>
          <t>Value with no directory source</t>
        </is>
      </c>
      <c r="B15" s="9" t="inlineStr">
        <is>
          <t>appuser.costCenter</t>
        </is>
      </c>
      <c r="C15" s="9" t="n">
        <v>1</v>
      </c>
      <c r="D15" s="10" t="inlineStr">
        <is>
          <t>HR Analytics (Tableau)</t>
        </is>
      </c>
    </row>
    <row r="16">
      <c r="A16" s="9" t="inlineStr">
        <is>
          <t>Value with no directory source</t>
        </is>
      </c>
      <c r="B16" s="9" t="inlineStr">
        <is>
          <t>user.id</t>
        </is>
      </c>
      <c r="C16" s="9" t="n">
        <v>1</v>
      </c>
      <c r="D16" s="10" t="inlineStr">
        <is>
          <t>Legacy Travel Booking</t>
        </is>
      </c>
    </row>
  </sheetData>
  <autoFilter ref="A1:D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2"/>
  <sheetViews>
    <sheetView showGridLines="1" workbookViewId="0">
      <pane ySplit="1" topLeftCell="A2" activePane="bottomLeft" state="frozen"/>
      <selection pane="bottomLeft" activeCell="A1" sqref="A1"/>
    </sheetView>
  </sheetViews>
  <sheetFormatPr baseColWidth="8" defaultRowHeight="15"/>
  <cols>
    <col width="28" customWidth="1" min="1" max="1"/>
    <col width="18" customWidth="1" min="2" max="2"/>
    <col width="16" customWidth="1" min="3" max="3"/>
    <col width="70" customWidth="1" min="4" max="4"/>
    <col width="34" customWidth="1" min="5" max="5"/>
    <col width="26" customWidth="1" min="6" max="6"/>
    <col width="12" customWidth="1" min="7" max="7"/>
  </cols>
  <sheetData>
    <row r="1" ht="30" customHeight="1">
      <c r="A1" s="8" t="inlineStr">
        <is>
          <t>Application</t>
        </is>
      </c>
      <c r="B1" s="8" t="inlineStr">
        <is>
          <t>When</t>
        </is>
      </c>
      <c r="C1" s="8" t="inlineStr">
        <is>
          <t>Owner</t>
        </is>
      </c>
      <c r="D1" s="8" t="inlineStr">
        <is>
          <t>Action</t>
        </is>
      </c>
      <c r="E1" s="8" t="inlineStr">
        <is>
          <t>Resolves findings</t>
        </is>
      </c>
      <c r="F1" s="8" t="inlineStr">
        <is>
          <t>Source</t>
        </is>
      </c>
      <c r="G1" s="8" t="inlineStr">
        <is>
          <t>Review</t>
        </is>
      </c>
    </row>
    <row r="2">
      <c r="A2" s="9" t="inlineStr">
        <is>
          <t>Engineering Wiki (Confluence DC)</t>
        </is>
      </c>
      <c r="B2" s="9" t="inlineStr">
        <is>
          <t>Before Migration</t>
        </is>
      </c>
      <c r="C2" s="9" t="inlineStr">
        <is>
          <t>Directory Team</t>
        </is>
      </c>
      <c r="D2" s="10" t="inlineStr">
        <is>
          <t>Pre-compute the expression result into a directory attribute, or get security approval for OGNL.</t>
        </is>
      </c>
      <c r="E2" s="10" t="inlineStr">
        <is>
          <t>CLAIM_NEEDS_OGNL</t>
        </is>
      </c>
      <c r="F2" s="9" t="inlineStr">
        <is>
          <t>offline (offline-rules-v1)</t>
        </is>
      </c>
      <c r="G2" s="9" t="inlineStr">
        <is>
          <t>PENDING</t>
        </is>
      </c>
    </row>
    <row r="3">
      <c r="A3" s="9" t="inlineStr">
        <is>
          <t>Engineering Wiki (Confluence DC)</t>
        </is>
      </c>
      <c r="B3" s="9" t="inlineStr">
        <is>
          <t>Before Migration</t>
        </is>
      </c>
      <c r="C3" s="9" t="inlineStr">
        <is>
          <t>IAM Team</t>
        </is>
      </c>
      <c r="D3" s="10" t="inlineStr">
        <is>
          <t>Add every ACS URL to the SP connection with the same index values.</t>
        </is>
      </c>
      <c r="E3" s="10" t="inlineStr">
        <is>
          <t>MULTIPLE_ACS</t>
        </is>
      </c>
      <c r="F3" s="9" t="inlineStr">
        <is>
          <t>offline (offline-rules-v1)</t>
        </is>
      </c>
      <c r="G3" s="9" t="inlineStr">
        <is>
          <t>PENDING</t>
        </is>
      </c>
    </row>
    <row r="4">
      <c r="A4" s="9" t="inlineStr">
        <is>
          <t>Engineering Wiki (Confluence DC)</t>
        </is>
      </c>
      <c r="B4" s="9" t="inlineStr">
        <is>
          <t>Before Migration</t>
        </is>
      </c>
      <c r="C4" s="9" t="inlineStr">
        <is>
          <t>IAM Team</t>
        </is>
      </c>
      <c r="D4" s="10" t="inlineStr">
        <is>
          <t>Enable 'Always sign the SAML assertion' on the SP connection.</t>
        </is>
      </c>
      <c r="E4" s="10" t="inlineStr">
        <is>
          <t>RESPONSE_AND_ASSERTION_SIGNED</t>
        </is>
      </c>
      <c r="F4" s="9" t="inlineStr">
        <is>
          <t>offline (offline-rules-v1)</t>
        </is>
      </c>
      <c r="G4" s="9" t="inlineStr">
        <is>
          <t>PENDING</t>
        </is>
      </c>
    </row>
    <row r="5">
      <c r="A5" s="9" t="inlineStr">
        <is>
          <t>Engineering Wiki (Confluence DC)</t>
        </is>
      </c>
      <c r="B5" s="9" t="inlineStr">
        <is>
          <t>Before Migration</t>
        </is>
      </c>
      <c r="C5" s="9" t="inlineStr">
        <is>
          <t>IAM Team</t>
        </is>
      </c>
      <c r="D5" s="10" t="inlineStr">
        <is>
          <t>Import the SP signing certificate into the connection.</t>
        </is>
      </c>
      <c r="E5" s="10" t="inlineStr">
        <is>
          <t>SIGNED_AUTHN_REQUESTS</t>
        </is>
      </c>
      <c r="F5" s="9" t="inlineStr">
        <is>
          <t>offline (offline-rules-v1)</t>
        </is>
      </c>
      <c r="G5" s="9" t="inlineStr">
        <is>
          <t>PENDING</t>
        </is>
      </c>
    </row>
    <row r="6">
      <c r="A6" s="9" t="inlineStr">
        <is>
          <t>Engineering Wiki (Confluence DC)</t>
        </is>
      </c>
      <c r="B6" s="9" t="inlineStr">
        <is>
          <t>Before Migration</t>
        </is>
      </c>
      <c r="C6" s="9" t="inlineStr">
        <is>
          <t>IAM Team</t>
        </is>
      </c>
      <c r="D6" s="10" t="inlineStr">
        <is>
          <t>Enable SLO on the SP connection and add the SP logout endpoint.</t>
        </is>
      </c>
      <c r="E6" s="10" t="inlineStr">
        <is>
          <t>SLO_ENABLED</t>
        </is>
      </c>
      <c r="F6" s="9" t="inlineStr">
        <is>
          <t>offline (offline-rules-v1)</t>
        </is>
      </c>
      <c r="G6" s="9" t="inlineStr">
        <is>
          <t>PENDING</t>
        </is>
      </c>
    </row>
    <row r="7">
      <c r="A7" s="9" t="inlineStr">
        <is>
          <t>Engineering Wiki (Confluence DC)</t>
        </is>
      </c>
      <c r="B7" s="9" t="inlineStr">
        <is>
          <t>Before Migration</t>
        </is>
      </c>
      <c r="C7" s="9" t="inlineStr">
        <is>
          <t>Directory Team</t>
        </is>
      </c>
      <c r="D7" s="10" t="inlineStr">
        <is>
          <t>Store per-assignment values (e.g. role) in the directory or derive them from group membership.</t>
        </is>
      </c>
      <c r="E7" s="10" t="inlineStr">
        <is>
          <t>ASSIGNMENT_PROFILE_ATTRIBUTES</t>
        </is>
      </c>
      <c r="F7" s="9" t="inlineStr">
        <is>
          <t>offline (offline-rules-v1)</t>
        </is>
      </c>
      <c r="G7" s="9" t="inlineStr">
        <is>
          <t>PENDING</t>
        </is>
      </c>
    </row>
    <row r="8">
      <c r="A8" s="9" t="inlineStr">
        <is>
          <t>Engineering Wiki (Confluence DC)</t>
        </is>
      </c>
      <c r="B8" s="9" t="inlineStr">
        <is>
          <t>Before Migration</t>
        </is>
      </c>
      <c r="C8" s="9" t="inlineStr">
        <is>
          <t>IAM Team</t>
        </is>
      </c>
      <c r="D8" s="10" t="inlineStr">
        <is>
          <t>Set a virtual server ID matching the current issuer on the SP connection.</t>
        </is>
      </c>
      <c r="E8" s="10" t="inlineStr">
        <is>
          <t>CUSTOM_IDP_ISSUER</t>
        </is>
      </c>
      <c r="F8" s="9" t="inlineStr">
        <is>
          <t>offline (offline-rules-v1)</t>
        </is>
      </c>
      <c r="G8" s="9" t="inlineStr">
        <is>
          <t>PENDING</t>
        </is>
      </c>
    </row>
    <row r="9">
      <c r="A9" s="9" t="inlineStr">
        <is>
          <t>Engineering Wiki (Confluence DC)</t>
        </is>
      </c>
      <c r="B9" s="9" t="inlineStr">
        <is>
          <t>Before Migration</t>
        </is>
      </c>
      <c r="C9" s="9" t="inlineStr">
        <is>
          <t>IAM Team</t>
        </is>
      </c>
      <c r="D9" s="10" t="inlineStr">
        <is>
          <t>Configure a chained LDAP attribute source for group names and fulfil the group attribute from it.</t>
        </is>
      </c>
      <c r="E9" s="10" t="inlineStr">
        <is>
          <t>GROUP_CLAIM</t>
        </is>
      </c>
      <c r="F9" s="9" t="inlineStr">
        <is>
          <t>offline (offline-rules-v1)</t>
        </is>
      </c>
      <c r="G9" s="9" t="inlineStr">
        <is>
          <t>PENDING</t>
        </is>
      </c>
    </row>
    <row r="10">
      <c r="A10" s="9" t="inlineStr">
        <is>
          <t>Engineering Wiki (Confluence DC)</t>
        </is>
      </c>
      <c r="B10" s="9" t="inlineStr">
        <is>
          <t>Before Migration</t>
        </is>
      </c>
      <c r="C10" s="9" t="inlineStr">
        <is>
          <t>App Owner</t>
        </is>
      </c>
      <c r="D10" s="10" t="inlineStr">
        <is>
          <t>Decide whether the Okta-only groups in the group claim must be created in the directory.</t>
        </is>
      </c>
      <c r="E10" s="10" t="inlineStr">
        <is>
          <t>GROUP_CLAIM_OKTA_NATIVE_GROUPS</t>
        </is>
      </c>
      <c r="F10" s="9" t="inlineStr">
        <is>
          <t>offline (offline-rules-v1)</t>
        </is>
      </c>
      <c r="G10" s="9" t="inlineStr">
        <is>
          <t>PENDING</t>
        </is>
      </c>
    </row>
    <row r="11">
      <c r="A11" s="9" t="inlineStr">
        <is>
          <t>Engineering Wiki (Confluence DC)</t>
        </is>
      </c>
      <c r="B11" s="9" t="inlineStr">
        <is>
          <t>Before Migration</t>
        </is>
      </c>
      <c r="C11" s="9" t="inlineStr">
        <is>
          <t>IAM Team</t>
        </is>
      </c>
      <c r="D11" s="10" t="inlineStr">
        <is>
          <t>Add issuance criteria on the SP connection restricting access to the assigned groups (memberOf).</t>
        </is>
      </c>
      <c r="E11" s="10" t="inlineStr">
        <is>
          <t>ISSUANCE_CRITERIA_REQUIRED</t>
        </is>
      </c>
      <c r="F11" s="9" t="inlineStr">
        <is>
          <t>offline (offline-rules-v1)</t>
        </is>
      </c>
      <c r="G11" s="9" t="inlineStr">
        <is>
          <t>PENDING</t>
        </is>
      </c>
    </row>
    <row r="12">
      <c r="A12" s="9" t="inlineStr">
        <is>
          <t>Engineering Wiki (Confluence DC)</t>
        </is>
      </c>
      <c r="B12" s="9" t="inlineStr">
        <is>
          <t>During Cutover</t>
        </is>
      </c>
      <c r="C12" s="9" t="inlineStr">
        <is>
          <t>Vendor</t>
        </is>
      </c>
      <c r="D12" s="10" t="inlineStr">
        <is>
          <t>Give the SP the PingFederate metadata (entity ID, SSO URL, signing certificate) at cutover.</t>
        </is>
      </c>
      <c r="E12" s="10" t="inlineStr">
        <is>
          <t>'</t>
        </is>
      </c>
      <c r="F12" s="9" t="inlineStr">
        <is>
          <t>offline (offline-rules-v1)</t>
        </is>
      </c>
      <c r="G12" s="9" t="inlineStr">
        <is>
          <t>PENDING</t>
        </is>
      </c>
    </row>
    <row r="13">
      <c r="A13" s="9" t="inlineStr">
        <is>
          <t>Engineering Wiki (Confluence DC)</t>
        </is>
      </c>
      <c r="B13" s="9" t="inlineStr">
        <is>
          <t>After Cutover</t>
        </is>
      </c>
      <c r="C13" s="9" t="inlineStr">
        <is>
          <t>IAM Team</t>
        </is>
      </c>
      <c r="D13" s="10" t="inlineStr">
        <is>
          <t>Test sign-in with pilot users, compare the assertion with Okta's, then remove the Okta app.</t>
        </is>
      </c>
      <c r="E13" s="10" t="inlineStr">
        <is>
          <t>'</t>
        </is>
      </c>
      <c r="F13" s="9" t="inlineStr">
        <is>
          <t>offline (offline-rules-v1)</t>
        </is>
      </c>
      <c r="G13" s="9" t="inlineStr">
        <is>
          <t>PENDING</t>
        </is>
      </c>
    </row>
    <row r="14">
      <c r="A14" s="9" t="inlineStr">
        <is>
          <t>Expense Portal</t>
        </is>
      </c>
      <c r="B14" s="9" t="inlineStr">
        <is>
          <t>Before Migration</t>
        </is>
      </c>
      <c r="C14" s="9" t="inlineStr">
        <is>
          <t>IAM Team</t>
        </is>
      </c>
      <c r="D14" s="10" t="inlineStr">
        <is>
          <t>Enable 'Always sign the SAML assertion' on the SP connection.</t>
        </is>
      </c>
      <c r="E14" s="10" t="inlineStr">
        <is>
          <t>RESPONSE_AND_ASSERTION_SIGNED</t>
        </is>
      </c>
      <c r="F14" s="9" t="inlineStr">
        <is>
          <t>offline (offline-rules-v1)</t>
        </is>
      </c>
      <c r="G14" s="9" t="inlineStr">
        <is>
          <t>PENDING</t>
        </is>
      </c>
    </row>
    <row r="15">
      <c r="A15" s="9" t="inlineStr">
        <is>
          <t>Expense Portal</t>
        </is>
      </c>
      <c r="B15" s="9" t="inlineStr">
        <is>
          <t>Before Migration</t>
        </is>
      </c>
      <c r="C15" s="9" t="inlineStr">
        <is>
          <t>App Owner</t>
        </is>
      </c>
      <c r="D15" s="10" t="inlineStr">
        <is>
          <t>Decide how to separate apps sharing this SP entity ID (e.g. change the UAT entity ID on the SP).</t>
        </is>
      </c>
      <c r="E15" s="10" t="inlineStr">
        <is>
          <t>DUPLICATE_SP_ENTITY_ID</t>
        </is>
      </c>
      <c r="F15" s="9" t="inlineStr">
        <is>
          <t>offline (offline-rules-v1)</t>
        </is>
      </c>
      <c r="G15" s="9" t="inlineStr">
        <is>
          <t>PENDING</t>
        </is>
      </c>
    </row>
    <row r="16">
      <c r="A16" s="9" t="inlineStr">
        <is>
          <t>Expense Portal</t>
        </is>
      </c>
      <c r="B16" s="9" t="inlineStr">
        <is>
          <t>Before Migration</t>
        </is>
      </c>
      <c r="C16" s="9" t="inlineStr">
        <is>
          <t>IAM Team</t>
        </is>
      </c>
      <c r="D16" s="10" t="inlineStr">
        <is>
          <t>Add issuance criteria on the SP connection restricting access to the assigned groups (memberOf).</t>
        </is>
      </c>
      <c r="E16" s="10" t="inlineStr">
        <is>
          <t>ISSUANCE_CRITERIA_REQUIRED</t>
        </is>
      </c>
      <c r="F16" s="9" t="inlineStr">
        <is>
          <t>offline (offline-rules-v1)</t>
        </is>
      </c>
      <c r="G16" s="9" t="inlineStr">
        <is>
          <t>PENDING</t>
        </is>
      </c>
    </row>
    <row r="17">
      <c r="A17" s="9" t="inlineStr">
        <is>
          <t>Expense Portal</t>
        </is>
      </c>
      <c r="B17" s="9" t="inlineStr">
        <is>
          <t>During Cutover</t>
        </is>
      </c>
      <c r="C17" s="9" t="inlineStr">
        <is>
          <t>Vendor</t>
        </is>
      </c>
      <c r="D17" s="10" t="inlineStr">
        <is>
          <t>Give the SP the PingFederate metadata (entity ID, SSO URL, signing certificate) at cutover.</t>
        </is>
      </c>
      <c r="E17" s="10" t="inlineStr">
        <is>
          <t>'</t>
        </is>
      </c>
      <c r="F17" s="9" t="inlineStr">
        <is>
          <t>offline (offline-rules-v1)</t>
        </is>
      </c>
      <c r="G17" s="9" t="inlineStr">
        <is>
          <t>PENDING</t>
        </is>
      </c>
    </row>
    <row r="18">
      <c r="A18" s="9" t="inlineStr">
        <is>
          <t>Expense Portal</t>
        </is>
      </c>
      <c r="B18" s="9" t="inlineStr">
        <is>
          <t>After Cutover</t>
        </is>
      </c>
      <c r="C18" s="9" t="inlineStr">
        <is>
          <t>IAM Team</t>
        </is>
      </c>
      <c r="D18" s="10" t="inlineStr">
        <is>
          <t>Test sign-in with pilot users, compare the assertion with Okta's, then remove the Okta app.</t>
        </is>
      </c>
      <c r="E18" s="10" t="inlineStr">
        <is>
          <t>'</t>
        </is>
      </c>
      <c r="F18" s="9" t="inlineStr">
        <is>
          <t>offline (offline-rules-v1)</t>
        </is>
      </c>
      <c r="G18" s="9" t="inlineStr">
        <is>
          <t>PENDING</t>
        </is>
      </c>
    </row>
    <row r="19">
      <c r="A19" s="9" t="inlineStr">
        <is>
          <t>Expense Portal (UAT)</t>
        </is>
      </c>
      <c r="B19" s="9" t="inlineStr">
        <is>
          <t>Before Migration</t>
        </is>
      </c>
      <c r="C19" s="9" t="inlineStr">
        <is>
          <t>IAM Team</t>
        </is>
      </c>
      <c r="D19" s="10" t="inlineStr">
        <is>
          <t>Enable 'Always sign the SAML assertion' on the SP connection.</t>
        </is>
      </c>
      <c r="E19" s="10" t="inlineStr">
        <is>
          <t>RESPONSE_AND_ASSERTION_SIGNED</t>
        </is>
      </c>
      <c r="F19" s="9" t="inlineStr">
        <is>
          <t>offline (offline-rules-v1)</t>
        </is>
      </c>
      <c r="G19" s="9" t="inlineStr">
        <is>
          <t>PENDING</t>
        </is>
      </c>
    </row>
    <row r="20">
      <c r="A20" s="9" t="inlineStr">
        <is>
          <t>Expense Portal (UAT)</t>
        </is>
      </c>
      <c r="B20" s="9" t="inlineStr">
        <is>
          <t>Before Migration</t>
        </is>
      </c>
      <c r="C20" s="9" t="inlineStr">
        <is>
          <t>App Owner</t>
        </is>
      </c>
      <c r="D20" s="10" t="inlineStr">
        <is>
          <t>Decide how to separate apps sharing this SP entity ID (e.g. change the UAT entity ID on the SP).</t>
        </is>
      </c>
      <c r="E20" s="10" t="inlineStr">
        <is>
          <t>DUPLICATE_SP_ENTITY_ID</t>
        </is>
      </c>
      <c r="F20" s="9" t="inlineStr">
        <is>
          <t>offline (offline-rules-v1)</t>
        </is>
      </c>
      <c r="G20" s="9" t="inlineStr">
        <is>
          <t>PENDING</t>
        </is>
      </c>
    </row>
    <row r="21">
      <c r="A21" s="9" t="inlineStr">
        <is>
          <t>Expense Portal (UAT)</t>
        </is>
      </c>
      <c r="B21" s="9" t="inlineStr">
        <is>
          <t>Before Migration</t>
        </is>
      </c>
      <c r="C21" s="9" t="inlineStr">
        <is>
          <t>IAM Team</t>
        </is>
      </c>
      <c r="D21" s="10" t="inlineStr">
        <is>
          <t>Add issuance criteria on the SP connection restricting access to the assigned groups (memberOf).</t>
        </is>
      </c>
      <c r="E21" s="10" t="inlineStr">
        <is>
          <t>ISSUANCE_CRITERIA_REQUIRED</t>
        </is>
      </c>
      <c r="F21" s="9" t="inlineStr">
        <is>
          <t>offline (offline-rules-v1)</t>
        </is>
      </c>
      <c r="G21" s="9" t="inlineStr">
        <is>
          <t>PENDING</t>
        </is>
      </c>
    </row>
    <row r="22">
      <c r="A22" s="9" t="inlineStr">
        <is>
          <t>Expense Portal (UAT)</t>
        </is>
      </c>
      <c r="B22" s="9" t="inlineStr">
        <is>
          <t>Before Migration</t>
        </is>
      </c>
      <c r="C22" s="9" t="inlineStr">
        <is>
          <t>Directory Team</t>
        </is>
      </c>
      <c r="D22" s="10" t="inlineStr">
        <is>
          <t>Create the Okta-only assigned groups in the directory and populate their members.</t>
        </is>
      </c>
      <c r="E22" s="10" t="inlineStr">
        <is>
          <t>OKTA_NATIVE_GROUPS_ASSIGNED</t>
        </is>
      </c>
      <c r="F22" s="9" t="inlineStr">
        <is>
          <t>offline (offline-rules-v1)</t>
        </is>
      </c>
      <c r="G22" s="9" t="inlineStr">
        <is>
          <t>PENDING</t>
        </is>
      </c>
    </row>
    <row r="23">
      <c r="A23" s="9" t="inlineStr">
        <is>
          <t>Expense Portal (UAT)</t>
        </is>
      </c>
      <c r="B23" s="9" t="inlineStr">
        <is>
          <t>During Cutover</t>
        </is>
      </c>
      <c r="C23" s="9" t="inlineStr">
        <is>
          <t>Vendor</t>
        </is>
      </c>
      <c r="D23" s="10" t="inlineStr">
        <is>
          <t>Give the SP the PingFederate metadata (entity ID, SSO URL, signing certificate) at cutover.</t>
        </is>
      </c>
      <c r="E23" s="10" t="inlineStr">
        <is>
          <t>'</t>
        </is>
      </c>
      <c r="F23" s="9" t="inlineStr">
        <is>
          <t>offline (offline-rules-v1)</t>
        </is>
      </c>
      <c r="G23" s="9" t="inlineStr">
        <is>
          <t>PENDING</t>
        </is>
      </c>
    </row>
    <row r="24">
      <c r="A24" s="9" t="inlineStr">
        <is>
          <t>Expense Portal (UAT)</t>
        </is>
      </c>
      <c r="B24" s="9" t="inlineStr">
        <is>
          <t>After Cutover</t>
        </is>
      </c>
      <c r="C24" s="9" t="inlineStr">
        <is>
          <t>IAM Team</t>
        </is>
      </c>
      <c r="D24" s="10" t="inlineStr">
        <is>
          <t>Test sign-in with pilot users, compare the assertion with Okta's, then remove the Okta app.</t>
        </is>
      </c>
      <c r="E24" s="10" t="inlineStr">
        <is>
          <t>'</t>
        </is>
      </c>
      <c r="F24" s="9" t="inlineStr">
        <is>
          <t>offline (offline-rules-v1)</t>
        </is>
      </c>
      <c r="G24" s="9" t="inlineStr">
        <is>
          <t>PENDING</t>
        </is>
      </c>
    </row>
    <row r="25">
      <c r="A25" s="9" t="inlineStr">
        <is>
          <t>HR Analytics (Tableau)</t>
        </is>
      </c>
      <c r="B25" s="9" t="inlineStr">
        <is>
          <t>Before Migration</t>
        </is>
      </c>
      <c r="C25" s="9" t="inlineStr">
        <is>
          <t>Directory Team</t>
        </is>
      </c>
      <c r="D25" s="10" t="inlineStr">
        <is>
          <t>Pre-compute the expression result into a directory attribute, or get security approval for OGNL.</t>
        </is>
      </c>
      <c r="E25" s="10" t="inlineStr">
        <is>
          <t>CLAIM_NEEDS_OGNL</t>
        </is>
      </c>
      <c r="F25" s="9" t="inlineStr">
        <is>
          <t>offline (offline-rules-v1)</t>
        </is>
      </c>
      <c r="G25" s="9" t="inlineStr">
        <is>
          <t>PENDING</t>
        </is>
      </c>
    </row>
    <row r="26">
      <c r="A26" s="9" t="inlineStr">
        <is>
          <t>HR Analytics (Tableau)</t>
        </is>
      </c>
      <c r="B26" s="9" t="inlineStr">
        <is>
          <t>Before Migration</t>
        </is>
      </c>
      <c r="C26" s="9" t="inlineStr">
        <is>
          <t>IAM Team</t>
        </is>
      </c>
      <c r="D26" s="10" t="inlineStr">
        <is>
          <t>Enable 'Always sign the SAML assertion' on the SP connection.</t>
        </is>
      </c>
      <c r="E26" s="10" t="inlineStr">
        <is>
          <t>RESPONSE_AND_ASSERTION_SIGNED</t>
        </is>
      </c>
      <c r="F26" s="9" t="inlineStr">
        <is>
          <t>offline (offline-rules-v1)</t>
        </is>
      </c>
      <c r="G26" s="9" t="inlineStr">
        <is>
          <t>PENDING</t>
        </is>
      </c>
    </row>
    <row r="27">
      <c r="A27" s="9" t="inlineStr">
        <is>
          <t>HR Analytics (Tableau)</t>
        </is>
      </c>
      <c r="B27" s="9" t="inlineStr">
        <is>
          <t>Before Migration</t>
        </is>
      </c>
      <c r="C27" s="9" t="inlineStr">
        <is>
          <t>Directory Team</t>
        </is>
      </c>
      <c r="D27" s="10" t="inlineStr">
        <is>
          <t>Move the Okta app-user attribute values into a directory attribute.</t>
        </is>
      </c>
      <c r="E27" s="10" t="inlineStr">
        <is>
          <t>APPUSER_ATTRIBUTE_CLAIM</t>
        </is>
      </c>
      <c r="F27" s="9" t="inlineStr">
        <is>
          <t>offline (offline-rules-v1)</t>
        </is>
      </c>
      <c r="G27" s="9" t="inlineStr">
        <is>
          <t>PENDING</t>
        </is>
      </c>
    </row>
    <row r="28">
      <c r="A28" s="9" t="inlineStr">
        <is>
          <t>HR Analytics (Tableau)</t>
        </is>
      </c>
      <c r="B28" s="9" t="inlineStr">
        <is>
          <t>Before Migration</t>
        </is>
      </c>
      <c r="C28" s="9" t="inlineStr">
        <is>
          <t>Directory Team</t>
        </is>
      </c>
      <c r="D28" s="10" t="inlineStr">
        <is>
          <t>Store per-assignment values (e.g. role) in the directory or derive them from group membership.</t>
        </is>
      </c>
      <c r="E28" s="10" t="inlineStr">
        <is>
          <t>ASSIGNMENT_PROFILE_ATTRIBUTES</t>
        </is>
      </c>
      <c r="F28" s="9" t="inlineStr">
        <is>
          <t>offline (offline-rules-v1)</t>
        </is>
      </c>
      <c r="G28" s="9" t="inlineStr">
        <is>
          <t>PENDING</t>
        </is>
      </c>
    </row>
    <row r="29">
      <c r="A29" s="9" t="inlineStr">
        <is>
          <t>HR Analytics (Tableau)</t>
        </is>
      </c>
      <c r="B29" s="9" t="inlineStr">
        <is>
          <t>Before Migration</t>
        </is>
      </c>
      <c r="C29" s="9" t="inlineStr">
        <is>
          <t>IAM Team</t>
        </is>
      </c>
      <c r="D29" s="10" t="inlineStr">
        <is>
          <t>Schedule the cutover before the Okta certificate expires, or rotate it on Okta.</t>
        </is>
      </c>
      <c r="E29" s="10" t="inlineStr">
        <is>
          <t>CERT_EXPIRING</t>
        </is>
      </c>
      <c r="F29" s="9" t="inlineStr">
        <is>
          <t>offline (offline-rules-v1)</t>
        </is>
      </c>
      <c r="G29" s="9" t="inlineStr">
        <is>
          <t>PENDING</t>
        </is>
      </c>
    </row>
    <row r="30">
      <c r="A30" s="9" t="inlineStr">
        <is>
          <t>HR Analytics (Tableau)</t>
        </is>
      </c>
      <c r="B30" s="9" t="inlineStr">
        <is>
          <t>Before Migration</t>
        </is>
      </c>
      <c r="C30" s="9" t="inlineStr">
        <is>
          <t>Directory Team</t>
        </is>
      </c>
      <c r="D30" s="10" t="inlineStr">
        <is>
          <t>Create a directory group for directly assigned users and use it in the issuance criteria.</t>
        </is>
      </c>
      <c r="E30" s="10" t="inlineStr">
        <is>
          <t>DIRECT_USER_ASSIGNMENTS</t>
        </is>
      </c>
      <c r="F30" s="9" t="inlineStr">
        <is>
          <t>offline (offline-rules-v1)</t>
        </is>
      </c>
      <c r="G30" s="9" t="inlineStr">
        <is>
          <t>PENDING</t>
        </is>
      </c>
    </row>
    <row r="31">
      <c r="A31" s="9" t="inlineStr">
        <is>
          <t>HR Analytics (Tableau)</t>
        </is>
      </c>
      <c r="B31" s="9" t="inlineStr">
        <is>
          <t>Before Migration</t>
        </is>
      </c>
      <c r="C31" s="9" t="inlineStr">
        <is>
          <t>IAM Team</t>
        </is>
      </c>
      <c r="D31" s="10" t="inlineStr">
        <is>
          <t>Add issuance criteria on the SP connection restricting access to the assigned groups (memberOf).</t>
        </is>
      </c>
      <c r="E31" s="10" t="inlineStr">
        <is>
          <t>ISSUANCE_CRITERIA_REQUIRED</t>
        </is>
      </c>
      <c r="F31" s="9" t="inlineStr">
        <is>
          <t>offline (offline-rules-v1)</t>
        </is>
      </c>
      <c r="G31" s="9" t="inlineStr">
        <is>
          <t>PENDING</t>
        </is>
      </c>
    </row>
    <row r="32">
      <c r="A32" s="9" t="inlineStr">
        <is>
          <t>HR Analytics (Tableau)</t>
        </is>
      </c>
      <c r="B32" s="9" t="inlineStr">
        <is>
          <t>Before Migration</t>
        </is>
      </c>
      <c r="C32" s="9" t="inlineStr">
        <is>
          <t>Directory Team</t>
        </is>
      </c>
      <c r="D32" s="10" t="inlineStr">
        <is>
          <t>Create the Okta-only assigned groups in the directory and populate their members.</t>
        </is>
      </c>
      <c r="E32" s="10" t="inlineStr">
        <is>
          <t>OKTA_NATIVE_GROUPS_ASSIGNED</t>
        </is>
      </c>
      <c r="F32" s="9" t="inlineStr">
        <is>
          <t>offline (offline-rules-v1)</t>
        </is>
      </c>
      <c r="G32" s="9" t="inlineStr">
        <is>
          <t>PENDING</t>
        </is>
      </c>
    </row>
    <row r="33">
      <c r="A33" s="9" t="inlineStr">
        <is>
          <t>HR Analytics (Tableau)</t>
        </is>
      </c>
      <c r="B33" s="9" t="inlineStr">
        <is>
          <t>During Cutover</t>
        </is>
      </c>
      <c r="C33" s="9" t="inlineStr">
        <is>
          <t>Vendor</t>
        </is>
      </c>
      <c r="D33" s="10" t="inlineStr">
        <is>
          <t>Give the SP the PingFederate metadata (entity ID, SSO URL, signing certificate) at cutover.</t>
        </is>
      </c>
      <c r="E33" s="10" t="inlineStr">
        <is>
          <t>'</t>
        </is>
      </c>
      <c r="F33" s="9" t="inlineStr">
        <is>
          <t>offline (offline-rules-v1)</t>
        </is>
      </c>
      <c r="G33" s="9" t="inlineStr">
        <is>
          <t>PENDING</t>
        </is>
      </c>
    </row>
    <row r="34">
      <c r="A34" s="9" t="inlineStr">
        <is>
          <t>HR Analytics (Tableau)</t>
        </is>
      </c>
      <c r="B34" s="9" t="inlineStr">
        <is>
          <t>After Cutover</t>
        </is>
      </c>
      <c r="C34" s="9" t="inlineStr">
        <is>
          <t>IAM Team</t>
        </is>
      </c>
      <c r="D34" s="10" t="inlineStr">
        <is>
          <t>Test sign-in with pilot users, compare the assertion with Okta's, then remove the Okta app.</t>
        </is>
      </c>
      <c r="E34" s="10" t="inlineStr">
        <is>
          <t>'</t>
        </is>
      </c>
      <c r="F34" s="9" t="inlineStr">
        <is>
          <t>offline (offline-rules-v1)</t>
        </is>
      </c>
      <c r="G34" s="9" t="inlineStr">
        <is>
          <t>PENDING</t>
        </is>
      </c>
    </row>
    <row r="35">
      <c r="A35" s="9" t="inlineStr">
        <is>
          <t>Legacy Travel Booking</t>
        </is>
      </c>
      <c r="B35" s="9" t="inlineStr">
        <is>
          <t>Before Migration</t>
        </is>
      </c>
      <c r="C35" s="9" t="inlineStr">
        <is>
          <t>App Owner</t>
        </is>
      </c>
      <c r="D35" s="10" t="inlineStr">
        <is>
          <t>Confirm whether the app still works; an expired signing certificate suggests it is unused.</t>
        </is>
      </c>
      <c r="E35" s="10" t="inlineStr">
        <is>
          <t>CERT_EXPIRED</t>
        </is>
      </c>
      <c r="F35" s="9" t="inlineStr">
        <is>
          <t>offline (offline-rules-v1)</t>
        </is>
      </c>
      <c r="G35" s="9" t="inlineStr">
        <is>
          <t>PENDING</t>
        </is>
      </c>
    </row>
    <row r="36">
      <c r="A36" s="9" t="inlineStr">
        <is>
          <t>Legacy Travel Booking</t>
        </is>
      </c>
      <c r="B36" s="9" t="inlineStr">
        <is>
          <t>Before Migration</t>
        </is>
      </c>
      <c r="C36" s="9" t="inlineStr">
        <is>
          <t>App Owner</t>
        </is>
      </c>
      <c r="D36" s="10" t="inlineStr">
        <is>
          <t>Copy Okta user ids into a directory attribute, or agree an account re-link with the vendor.</t>
        </is>
      </c>
      <c r="E36" s="10" t="inlineStr">
        <is>
          <t>NAMEID_IS_OKTA_USER_ID</t>
        </is>
      </c>
      <c r="F36" s="9" t="inlineStr">
        <is>
          <t>offline (offline-rules-v1)</t>
        </is>
      </c>
      <c r="G36" s="9" t="inlineStr">
        <is>
          <t>PENDING</t>
        </is>
      </c>
    </row>
    <row r="37">
      <c r="A37" s="9" t="inlineStr">
        <is>
          <t>Legacy Travel Booking</t>
        </is>
      </c>
      <c r="B37" s="9" t="inlineStr">
        <is>
          <t>Before Migration</t>
        </is>
      </c>
      <c r="C37" s="9" t="inlineStr">
        <is>
          <t>IAM Team</t>
        </is>
      </c>
      <c r="D37" s="10" t="inlineStr">
        <is>
          <t>Enable 'Always sign the SAML assertion' on the SP connection.</t>
        </is>
      </c>
      <c r="E37" s="10" t="inlineStr">
        <is>
          <t>RESPONSE_AND_ASSERTION_SIGNED</t>
        </is>
      </c>
      <c r="F37" s="9" t="inlineStr">
        <is>
          <t>offline (offline-rules-v1)</t>
        </is>
      </c>
      <c r="G37" s="9" t="inlineStr">
        <is>
          <t>PENDING</t>
        </is>
      </c>
    </row>
    <row r="38">
      <c r="A38" s="9" t="inlineStr">
        <is>
          <t>Legacy Travel Booking</t>
        </is>
      </c>
      <c r="B38" s="9" t="inlineStr">
        <is>
          <t>During Cutover</t>
        </is>
      </c>
      <c r="C38" s="9" t="inlineStr">
        <is>
          <t>Vendor</t>
        </is>
      </c>
      <c r="D38" s="10" t="inlineStr">
        <is>
          <t>Agree SHA-256 signing with the vendor at cutover.</t>
        </is>
      </c>
      <c r="E38" s="10" t="inlineStr">
        <is>
          <t>SHA1_SIGNATURE</t>
        </is>
      </c>
      <c r="F38" s="9" t="inlineStr">
        <is>
          <t>offline (offline-rules-v1)</t>
        </is>
      </c>
      <c r="G38" s="9" t="inlineStr">
        <is>
          <t>PENDING</t>
        </is>
      </c>
    </row>
    <row r="39">
      <c r="A39" s="9" t="inlineStr">
        <is>
          <t>Legacy Travel Booking</t>
        </is>
      </c>
      <c r="B39" s="9" t="inlineStr">
        <is>
          <t>Before Migration</t>
        </is>
      </c>
      <c r="C39" s="9" t="inlineStr">
        <is>
          <t>App Owner</t>
        </is>
      </c>
      <c r="D39" s="10" t="inlineStr">
        <is>
          <t>Confirm with the owner whether the app can be decommissioned instead of migrated.</t>
        </is>
      </c>
      <c r="E39" s="10" t="inlineStr">
        <is>
          <t>NO_ASSIGNMENTS</t>
        </is>
      </c>
      <c r="F39" s="9" t="inlineStr">
        <is>
          <t>offline (offline-rules-v1)</t>
        </is>
      </c>
      <c r="G39" s="9" t="inlineStr">
        <is>
          <t>PENDING</t>
        </is>
      </c>
    </row>
    <row r="40">
      <c r="A40" s="9" t="inlineStr">
        <is>
          <t>Legacy Travel Booking</t>
        </is>
      </c>
      <c r="B40" s="9" t="inlineStr">
        <is>
          <t>During Cutover</t>
        </is>
      </c>
      <c r="C40" s="9" t="inlineStr">
        <is>
          <t>Vendor</t>
        </is>
      </c>
      <c r="D40" s="10" t="inlineStr">
        <is>
          <t>Give the SP the PingFederate metadata (entity ID, SSO URL, signing certificate) at cutover.</t>
        </is>
      </c>
      <c r="E40" s="10" t="inlineStr">
        <is>
          <t>'</t>
        </is>
      </c>
      <c r="F40" s="9" t="inlineStr">
        <is>
          <t>offline (offline-rules-v1)</t>
        </is>
      </c>
      <c r="G40" s="9" t="inlineStr">
        <is>
          <t>PENDING</t>
        </is>
      </c>
    </row>
    <row r="41">
      <c r="A41" s="9" t="inlineStr">
        <is>
          <t>Legacy Travel Booking</t>
        </is>
      </c>
      <c r="B41" s="9" t="inlineStr">
        <is>
          <t>After Cutover</t>
        </is>
      </c>
      <c r="C41" s="9" t="inlineStr">
        <is>
          <t>IAM Team</t>
        </is>
      </c>
      <c r="D41" s="10" t="inlineStr">
        <is>
          <t>Test sign-in with pilot users, compare the assertion with Okta's, then remove the Okta app.</t>
        </is>
      </c>
      <c r="E41" s="10" t="inlineStr">
        <is>
          <t>'</t>
        </is>
      </c>
      <c r="F41" s="9" t="inlineStr">
        <is>
          <t>offline (offline-rules-v1)</t>
        </is>
      </c>
      <c r="G41" s="9" t="inlineStr">
        <is>
          <t>PENDING</t>
        </is>
      </c>
    </row>
    <row r="42">
      <c r="A42" s="9" t="inlineStr">
        <is>
          <t>Salesforce</t>
        </is>
      </c>
      <c r="B42" s="9" t="inlineStr">
        <is>
          <t>Before Migration</t>
        </is>
      </c>
      <c r="C42" s="9" t="inlineStr">
        <is>
          <t>Vendor</t>
        </is>
      </c>
      <c r="D42" s="10" t="inlineStr">
        <is>
          <t>Obtain the SP metadata (entity ID, ACS URLs, expected attributes) from the vendor.</t>
        </is>
      </c>
      <c r="E42" s="10" t="inlineStr">
        <is>
          <t>CATALOG_APP_PARTIAL_CONFIG</t>
        </is>
      </c>
      <c r="F42" s="9" t="inlineStr">
        <is>
          <t>offline (offline-rules-v1)</t>
        </is>
      </c>
      <c r="G42" s="9" t="inlineStr">
        <is>
          <t>PENDING</t>
        </is>
      </c>
    </row>
    <row r="43">
      <c r="A43" s="9" t="inlineStr">
        <is>
          <t>Salesforce</t>
        </is>
      </c>
      <c r="B43" s="9" t="inlineStr">
        <is>
          <t>Before Migration</t>
        </is>
      </c>
      <c r="C43" s="9" t="inlineStr">
        <is>
          <t>IAM Team</t>
        </is>
      </c>
      <c r="D43" s="10" t="inlineStr">
        <is>
          <t>Reproduce the custom app username exactly (directory attribute or approved OGNL).</t>
        </is>
      </c>
      <c r="E43" s="10" t="inlineStr">
        <is>
          <t>CUSTOM_APP_USERNAME</t>
        </is>
      </c>
      <c r="F43" s="9" t="inlineStr">
        <is>
          <t>offline (offline-rules-v1)</t>
        </is>
      </c>
      <c r="G43" s="9" t="inlineStr">
        <is>
          <t>PENDING</t>
        </is>
      </c>
    </row>
    <row r="44">
      <c r="A44" s="9" t="inlineStr">
        <is>
          <t>Salesforce</t>
        </is>
      </c>
      <c r="B44" s="9" t="inlineStr">
        <is>
          <t>Before Migration</t>
        </is>
      </c>
      <c r="C44" s="9" t="inlineStr">
        <is>
          <t>IAM Team</t>
        </is>
      </c>
      <c r="D44" s="10" t="inlineStr">
        <is>
          <t>Add issuance criteria on the SP connection restricting access to the assigned groups (memberOf).</t>
        </is>
      </c>
      <c r="E44" s="10" t="inlineStr">
        <is>
          <t>ISSUANCE_CRITERIA_REQUIRED</t>
        </is>
      </c>
      <c r="F44" s="9" t="inlineStr">
        <is>
          <t>offline (offline-rules-v1)</t>
        </is>
      </c>
      <c r="G44" s="9" t="inlineStr">
        <is>
          <t>PENDING</t>
        </is>
      </c>
    </row>
    <row r="45">
      <c r="A45" s="9" t="inlineStr">
        <is>
          <t>Salesforce</t>
        </is>
      </c>
      <c r="B45" s="9" t="inlineStr">
        <is>
          <t>Before Migration</t>
        </is>
      </c>
      <c r="C45" s="9" t="inlineStr">
        <is>
          <t>Directory Team</t>
        </is>
      </c>
      <c r="D45" s="10" t="inlineStr">
        <is>
          <t>Create the Okta-only assigned groups in the directory and populate their members.</t>
        </is>
      </c>
      <c r="E45" s="10" t="inlineStr">
        <is>
          <t>OKTA_NATIVE_GROUPS_ASSIGNED</t>
        </is>
      </c>
      <c r="F45" s="9" t="inlineStr">
        <is>
          <t>offline (offline-rules-v1)</t>
        </is>
      </c>
      <c r="G45" s="9" t="inlineStr">
        <is>
          <t>PENDING</t>
        </is>
      </c>
    </row>
    <row r="46">
      <c r="A46" s="9" t="inlineStr">
        <is>
          <t>Salesforce</t>
        </is>
      </c>
      <c r="B46" s="9" t="inlineStr">
        <is>
          <t>During Cutover</t>
        </is>
      </c>
      <c r="C46" s="9" t="inlineStr">
        <is>
          <t>Vendor</t>
        </is>
      </c>
      <c r="D46" s="10" t="inlineStr">
        <is>
          <t>Give the SP the PingFederate metadata (entity ID, SSO URL, signing certificate) at cutover.</t>
        </is>
      </c>
      <c r="E46" s="10" t="inlineStr">
        <is>
          <t>'</t>
        </is>
      </c>
      <c r="F46" s="9" t="inlineStr">
        <is>
          <t>offline (offline-rules-v1)</t>
        </is>
      </c>
      <c r="G46" s="9" t="inlineStr">
        <is>
          <t>PENDING</t>
        </is>
      </c>
    </row>
    <row r="47">
      <c r="A47" s="9" t="inlineStr">
        <is>
          <t>Salesforce</t>
        </is>
      </c>
      <c r="B47" s="9" t="inlineStr">
        <is>
          <t>After Cutover</t>
        </is>
      </c>
      <c r="C47" s="9" t="inlineStr">
        <is>
          <t>IAM Team</t>
        </is>
      </c>
      <c r="D47" s="10" t="inlineStr">
        <is>
          <t>Test sign-in with pilot users, compare the assertion with Okta's, then remove the Okta app.</t>
        </is>
      </c>
      <c r="E47" s="10" t="inlineStr">
        <is>
          <t>'</t>
        </is>
      </c>
      <c r="F47" s="9" t="inlineStr">
        <is>
          <t>offline (offline-rules-v1)</t>
        </is>
      </c>
      <c r="G47" s="9" t="inlineStr">
        <is>
          <t>PENDING</t>
        </is>
      </c>
    </row>
    <row r="48">
      <c r="A48" s="9" t="inlineStr">
        <is>
          <t>ServiceNow</t>
        </is>
      </c>
      <c r="B48" s="9" t="inlineStr">
        <is>
          <t>Before Migration</t>
        </is>
      </c>
      <c r="C48" s="9" t="inlineStr">
        <is>
          <t>Vendor</t>
        </is>
      </c>
      <c r="D48" s="10" t="inlineStr">
        <is>
          <t>Obtain the SP metadata (entity ID, ACS URLs, expected attributes) from the vendor.</t>
        </is>
      </c>
      <c r="E48" s="10" t="inlineStr">
        <is>
          <t>CATALOG_APP_PARTIAL_CONFIG</t>
        </is>
      </c>
      <c r="F48" s="9" t="inlineStr">
        <is>
          <t>offline (offline-rules-v1)</t>
        </is>
      </c>
      <c r="G48" s="9" t="inlineStr">
        <is>
          <t>PENDING</t>
        </is>
      </c>
    </row>
    <row r="49">
      <c r="A49" s="9" t="inlineStr">
        <is>
          <t>ServiceNow</t>
        </is>
      </c>
      <c r="B49" s="9" t="inlineStr">
        <is>
          <t>Before Migration</t>
        </is>
      </c>
      <c r="C49" s="9" t="inlineStr">
        <is>
          <t>IAM Team</t>
        </is>
      </c>
      <c r="D49" s="10" t="inlineStr">
        <is>
          <t>Add issuance criteria on the SP connection restricting access to the assigned groups (memberOf).</t>
        </is>
      </c>
      <c r="E49" s="10" t="inlineStr">
        <is>
          <t>ISSUANCE_CRITERIA_REQUIRED</t>
        </is>
      </c>
      <c r="F49" s="9" t="inlineStr">
        <is>
          <t>offline (offline-rules-v1)</t>
        </is>
      </c>
      <c r="G49" s="9" t="inlineStr">
        <is>
          <t>PENDING</t>
        </is>
      </c>
    </row>
    <row r="50">
      <c r="A50" s="9" t="inlineStr">
        <is>
          <t>ServiceNow</t>
        </is>
      </c>
      <c r="B50" s="9" t="inlineStr">
        <is>
          <t>Before Migration</t>
        </is>
      </c>
      <c r="C50" s="9" t="inlineStr">
        <is>
          <t>Directory Team</t>
        </is>
      </c>
      <c r="D50" s="10" t="inlineStr">
        <is>
          <t>Create the Okta-only assigned groups in the directory and populate their members.</t>
        </is>
      </c>
      <c r="E50" s="10" t="inlineStr">
        <is>
          <t>OKTA_NATIVE_GROUPS_ASSIGNED</t>
        </is>
      </c>
      <c r="F50" s="9" t="inlineStr">
        <is>
          <t>offline (offline-rules-v1)</t>
        </is>
      </c>
      <c r="G50" s="9" t="inlineStr">
        <is>
          <t>PENDING</t>
        </is>
      </c>
    </row>
    <row r="51">
      <c r="A51" s="9" t="inlineStr">
        <is>
          <t>ServiceNow</t>
        </is>
      </c>
      <c r="B51" s="9" t="inlineStr">
        <is>
          <t>During Cutover</t>
        </is>
      </c>
      <c r="C51" s="9" t="inlineStr">
        <is>
          <t>Vendor</t>
        </is>
      </c>
      <c r="D51" s="10" t="inlineStr">
        <is>
          <t>Give the SP the PingFederate metadata (entity ID, SSO URL, signing certificate) at cutover.</t>
        </is>
      </c>
      <c r="E51" s="10" t="inlineStr">
        <is>
          <t>'</t>
        </is>
      </c>
      <c r="F51" s="9" t="inlineStr">
        <is>
          <t>offline (offline-rules-v1)</t>
        </is>
      </c>
      <c r="G51" s="9" t="inlineStr">
        <is>
          <t>PENDING</t>
        </is>
      </c>
    </row>
    <row r="52">
      <c r="A52" s="9" t="inlineStr">
        <is>
          <t>ServiceNow</t>
        </is>
      </c>
      <c r="B52" s="9" t="inlineStr">
        <is>
          <t>After Cutover</t>
        </is>
      </c>
      <c r="C52" s="9" t="inlineStr">
        <is>
          <t>IAM Team</t>
        </is>
      </c>
      <c r="D52" s="10" t="inlineStr">
        <is>
          <t>Test sign-in with pilot users, compare the assertion with Okta's, then remove the Okta app.</t>
        </is>
      </c>
      <c r="E52" s="10" t="inlineStr">
        <is>
          <t>'</t>
        </is>
      </c>
      <c r="F52" s="9" t="inlineStr">
        <is>
          <t>offline (offline-rules-v1)</t>
        </is>
      </c>
      <c r="G52" s="9" t="inlineStr">
        <is>
          <t>PENDING</t>
        </is>
      </c>
    </row>
  </sheetData>
  <autoFilter ref="A1:G5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7"/>
  <sheetViews>
    <sheetView showGridLines="1" workbookViewId="0">
      <pane ySplit="1" topLeftCell="A2" activePane="bottomLeft" state="frozen"/>
      <selection pane="bottomLeft" activeCell="A1" sqref="A1"/>
    </sheetView>
  </sheetViews>
  <sheetFormatPr baseColWidth="8" defaultRowHeight="15"/>
  <cols>
    <col width="28" customWidth="1" min="1" max="1"/>
    <col width="22" customWidth="1" min="2" max="2"/>
    <col width="70" customWidth="1" min="3" max="3"/>
    <col width="50" customWidth="1" min="4" max="4"/>
  </cols>
  <sheetData>
    <row r="1" ht="30" customHeight="1">
      <c r="A1" s="8" t="inlineStr">
        <is>
          <t>Application</t>
        </is>
      </c>
      <c r="B1" s="8" t="inlineStr">
        <is>
          <t>Business owner</t>
        </is>
      </c>
      <c r="C1" s="8" t="inlineStr">
        <is>
          <t>Question</t>
        </is>
      </c>
      <c r="D1" s="8" t="inlineStr">
        <is>
          <t>Answer (fill in)</t>
        </is>
      </c>
    </row>
    <row r="2">
      <c r="A2" s="9" t="inlineStr">
        <is>
          <t>Engineering Wiki (Confluence DC)</t>
        </is>
      </c>
      <c r="B2" s="9" t="inlineStr">
        <is>
          <t>Unknown</t>
        </is>
      </c>
      <c r="C2" s="10" t="inlineStr">
        <is>
          <t>Who is the business owner for this application?</t>
        </is>
      </c>
      <c r="D2" s="12" t="inlineStr">
        <is>
          <t>'</t>
        </is>
      </c>
    </row>
    <row r="3">
      <c r="A3" s="9" t="inlineStr">
        <is>
          <t>Engineering Wiki (Confluence DC)</t>
        </is>
      </c>
      <c r="B3" s="9" t="inlineStr">
        <is>
          <t>Unknown</t>
        </is>
      </c>
      <c r="C3" s="10" t="inlineStr">
        <is>
          <t>How critical is this application to the business (low / medium / high)?</t>
        </is>
      </c>
      <c r="D3" s="12" t="inlineStr">
        <is>
          <t>'</t>
        </is>
      </c>
    </row>
    <row r="4">
      <c r="A4" s="9" t="inlineStr">
        <is>
          <t>Engineering Wiki (Confluence DC)</t>
        </is>
      </c>
      <c r="B4" s="9" t="inlineStr">
        <is>
          <t>Unknown</t>
        </is>
      </c>
      <c r="C4" s="10" t="inlineStr">
        <is>
          <t>Does the vendor provide a test or sandbox instance we can federate first?</t>
        </is>
      </c>
      <c r="D4" s="12" t="inlineStr">
        <is>
          <t>'</t>
        </is>
      </c>
    </row>
    <row r="5">
      <c r="A5" s="9" t="inlineStr">
        <is>
          <t>Engineering Wiki (Confluence DC)</t>
        </is>
      </c>
      <c r="B5" s="9" t="inlineStr">
        <is>
          <t>Unknown</t>
        </is>
      </c>
      <c r="C5" s="10" t="inlineStr">
        <is>
          <t>Does the application need nested group membership or only direct groups?</t>
        </is>
      </c>
      <c r="D5" s="12" t="inlineStr">
        <is>
          <t>'</t>
        </is>
      </c>
    </row>
    <row r="6">
      <c r="A6" s="9" t="inlineStr">
        <is>
          <t>Expense Portal</t>
        </is>
      </c>
      <c r="B6" s="9" t="inlineStr">
        <is>
          <t>Unknown</t>
        </is>
      </c>
      <c r="C6" s="10" t="inlineStr">
        <is>
          <t>Who is the business owner for this application?</t>
        </is>
      </c>
      <c r="D6" s="12" t="inlineStr">
        <is>
          <t>'</t>
        </is>
      </c>
    </row>
    <row r="7">
      <c r="A7" s="9" t="inlineStr">
        <is>
          <t>Expense Portal</t>
        </is>
      </c>
      <c r="B7" s="9" t="inlineStr">
        <is>
          <t>Unknown</t>
        </is>
      </c>
      <c r="C7" s="10" t="inlineStr">
        <is>
          <t>How critical is this application to the business (low / medium / high)?</t>
        </is>
      </c>
      <c r="D7" s="12" t="inlineStr">
        <is>
          <t>'</t>
        </is>
      </c>
    </row>
    <row r="8">
      <c r="A8" s="9" t="inlineStr">
        <is>
          <t>Expense Portal</t>
        </is>
      </c>
      <c r="B8" s="9" t="inlineStr">
        <is>
          <t>Unknown</t>
        </is>
      </c>
      <c r="C8" s="10" t="inlineStr">
        <is>
          <t>Does the vendor provide a test or sandbox instance we can federate first?</t>
        </is>
      </c>
      <c r="D8" s="12" t="inlineStr">
        <is>
          <t>'</t>
        </is>
      </c>
    </row>
    <row r="9">
      <c r="A9" s="9" t="inlineStr">
        <is>
          <t>Expense Portal</t>
        </is>
      </c>
      <c r="B9" s="9" t="inlineStr">
        <is>
          <t>Unknown</t>
        </is>
      </c>
      <c r="C9" s="10" t="inlineStr">
        <is>
          <t>Can the non-production instance use a different SP entity ID?</t>
        </is>
      </c>
      <c r="D9" s="12" t="inlineStr">
        <is>
          <t>'</t>
        </is>
      </c>
    </row>
    <row r="10">
      <c r="A10" s="9" t="inlineStr">
        <is>
          <t>Expense Portal (UAT)</t>
        </is>
      </c>
      <c r="B10" s="9" t="inlineStr">
        <is>
          <t>Unknown</t>
        </is>
      </c>
      <c r="C10" s="10" t="inlineStr">
        <is>
          <t>Who is the business owner for this application?</t>
        </is>
      </c>
      <c r="D10" s="12" t="inlineStr">
        <is>
          <t>'</t>
        </is>
      </c>
    </row>
    <row r="11">
      <c r="A11" s="9" t="inlineStr">
        <is>
          <t>Expense Portal (UAT)</t>
        </is>
      </c>
      <c r="B11" s="9" t="inlineStr">
        <is>
          <t>Unknown</t>
        </is>
      </c>
      <c r="C11" s="10" t="inlineStr">
        <is>
          <t>How critical is this application to the business (low / medium / high)?</t>
        </is>
      </c>
      <c r="D11" s="12" t="inlineStr">
        <is>
          <t>'</t>
        </is>
      </c>
    </row>
    <row r="12">
      <c r="A12" s="9" t="inlineStr">
        <is>
          <t>Expense Portal (UAT)</t>
        </is>
      </c>
      <c r="B12" s="9" t="inlineStr">
        <is>
          <t>Unknown</t>
        </is>
      </c>
      <c r="C12" s="10" t="inlineStr">
        <is>
          <t>Does the vendor provide a test or sandbox instance we can federate first?</t>
        </is>
      </c>
      <c r="D12" s="12" t="inlineStr">
        <is>
          <t>'</t>
        </is>
      </c>
    </row>
    <row r="13">
      <c r="A13" s="9" t="inlineStr">
        <is>
          <t>Expense Portal (UAT)</t>
        </is>
      </c>
      <c r="B13" s="9" t="inlineStr">
        <is>
          <t>Unknown</t>
        </is>
      </c>
      <c r="C13" s="10" t="inlineStr">
        <is>
          <t>Can the non-production instance use a different SP entity ID?</t>
        </is>
      </c>
      <c r="D13" s="12" t="inlineStr">
        <is>
          <t>'</t>
        </is>
      </c>
    </row>
    <row r="14">
      <c r="A14" s="9" t="inlineStr">
        <is>
          <t>HR Analytics (Tableau)</t>
        </is>
      </c>
      <c r="B14" s="9" t="inlineStr">
        <is>
          <t>Unknown</t>
        </is>
      </c>
      <c r="C14" s="10" t="inlineStr">
        <is>
          <t>Who is the business owner for this application?</t>
        </is>
      </c>
      <c r="D14" s="12" t="inlineStr">
        <is>
          <t>'</t>
        </is>
      </c>
    </row>
    <row r="15">
      <c r="A15" s="9" t="inlineStr">
        <is>
          <t>HR Analytics (Tableau)</t>
        </is>
      </c>
      <c r="B15" s="9" t="inlineStr">
        <is>
          <t>Unknown</t>
        </is>
      </c>
      <c r="C15" s="10" t="inlineStr">
        <is>
          <t>How critical is this application to the business (low / medium / high)?</t>
        </is>
      </c>
      <c r="D15" s="12" t="inlineStr">
        <is>
          <t>'</t>
        </is>
      </c>
    </row>
    <row r="16">
      <c r="A16" s="9" t="inlineStr">
        <is>
          <t>HR Analytics (Tableau)</t>
        </is>
      </c>
      <c r="B16" s="9" t="inlineStr">
        <is>
          <t>Unknown</t>
        </is>
      </c>
      <c r="C16" s="10" t="inlineStr">
        <is>
          <t>Does the vendor provide a test or sandbox instance we can federate first?</t>
        </is>
      </c>
      <c r="D16" s="12" t="inlineStr">
        <is>
          <t>'</t>
        </is>
      </c>
    </row>
    <row r="17">
      <c r="A17" s="9" t="inlineStr">
        <is>
          <t>Legacy Travel Booking</t>
        </is>
      </c>
      <c r="B17" s="9" t="inlineStr">
        <is>
          <t>Unknown</t>
        </is>
      </c>
      <c r="C17" s="10" t="inlineStr">
        <is>
          <t>Who is the business owner for this application?</t>
        </is>
      </c>
      <c r="D17" s="12" t="inlineStr">
        <is>
          <t>'</t>
        </is>
      </c>
    </row>
    <row r="18">
      <c r="A18" s="9" t="inlineStr">
        <is>
          <t>Legacy Travel Booking</t>
        </is>
      </c>
      <c r="B18" s="9" t="inlineStr">
        <is>
          <t>Unknown</t>
        </is>
      </c>
      <c r="C18" s="10" t="inlineStr">
        <is>
          <t>How critical is this application to the business (low / medium / high)?</t>
        </is>
      </c>
      <c r="D18" s="12" t="inlineStr">
        <is>
          <t>'</t>
        </is>
      </c>
    </row>
    <row r="19">
      <c r="A19" s="9" t="inlineStr">
        <is>
          <t>Legacy Travel Booking</t>
        </is>
      </c>
      <c r="B19" s="9" t="inlineStr">
        <is>
          <t>Unknown</t>
        </is>
      </c>
      <c r="C19" s="10" t="inlineStr">
        <is>
          <t>Does the vendor provide a test or sandbox instance we can federate first?</t>
        </is>
      </c>
      <c r="D19" s="12" t="inlineStr">
        <is>
          <t>'</t>
        </is>
      </c>
    </row>
    <row r="20">
      <c r="A20" s="9" t="inlineStr">
        <is>
          <t>Salesforce</t>
        </is>
      </c>
      <c r="B20" s="9" t="inlineStr">
        <is>
          <t>Unknown</t>
        </is>
      </c>
      <c r="C20" s="10" t="inlineStr">
        <is>
          <t>Who is the business owner for this application?</t>
        </is>
      </c>
      <c r="D20" s="12" t="inlineStr">
        <is>
          <t>'</t>
        </is>
      </c>
    </row>
    <row r="21">
      <c r="A21" s="9" t="inlineStr">
        <is>
          <t>Salesforce</t>
        </is>
      </c>
      <c r="B21" s="9" t="inlineStr">
        <is>
          <t>Unknown</t>
        </is>
      </c>
      <c r="C21" s="10" t="inlineStr">
        <is>
          <t>How critical is this application to the business (low / medium / high)?</t>
        </is>
      </c>
      <c r="D21" s="12" t="inlineStr">
        <is>
          <t>'</t>
        </is>
      </c>
    </row>
    <row r="22">
      <c r="A22" s="9" t="inlineStr">
        <is>
          <t>Salesforce</t>
        </is>
      </c>
      <c r="B22" s="9" t="inlineStr">
        <is>
          <t>Unknown</t>
        </is>
      </c>
      <c r="C22" s="10" t="inlineStr">
        <is>
          <t>Does the vendor provide a test or sandbox instance we can federate first?</t>
        </is>
      </c>
      <c r="D22" s="12" t="inlineStr">
        <is>
          <t>'</t>
        </is>
      </c>
    </row>
    <row r="23">
      <c r="A23" s="9" t="inlineStr">
        <is>
          <t>Salesforce</t>
        </is>
      </c>
      <c r="B23" s="9" t="inlineStr">
        <is>
          <t>Unknown</t>
        </is>
      </c>
      <c r="C23" s="10" t="inlineStr">
        <is>
          <t>Can you provide the SP SAML metadata or the vendor's SSO configuration page?</t>
        </is>
      </c>
      <c r="D23" s="12" t="inlineStr">
        <is>
          <t>'</t>
        </is>
      </c>
    </row>
    <row r="24">
      <c r="A24" s="9" t="inlineStr">
        <is>
          <t>ServiceNow</t>
        </is>
      </c>
      <c r="B24" s="9" t="inlineStr">
        <is>
          <t>Unknown</t>
        </is>
      </c>
      <c r="C24" s="10" t="inlineStr">
        <is>
          <t>Who is the business owner for this application?</t>
        </is>
      </c>
      <c r="D24" s="12" t="inlineStr">
        <is>
          <t>'</t>
        </is>
      </c>
    </row>
    <row r="25">
      <c r="A25" s="9" t="inlineStr">
        <is>
          <t>ServiceNow</t>
        </is>
      </c>
      <c r="B25" s="9" t="inlineStr">
        <is>
          <t>Unknown</t>
        </is>
      </c>
      <c r="C25" s="10" t="inlineStr">
        <is>
          <t>How critical is this application to the business (low / medium / high)?</t>
        </is>
      </c>
      <c r="D25" s="12" t="inlineStr">
        <is>
          <t>'</t>
        </is>
      </c>
    </row>
    <row r="26">
      <c r="A26" s="9" t="inlineStr">
        <is>
          <t>ServiceNow</t>
        </is>
      </c>
      <c r="B26" s="9" t="inlineStr">
        <is>
          <t>Unknown</t>
        </is>
      </c>
      <c r="C26" s="10" t="inlineStr">
        <is>
          <t>Does the vendor provide a test or sandbox instance we can federate first?</t>
        </is>
      </c>
      <c r="D26" s="12" t="inlineStr">
        <is>
          <t>'</t>
        </is>
      </c>
    </row>
    <row r="27">
      <c r="A27" s="9" t="inlineStr">
        <is>
          <t>ServiceNow</t>
        </is>
      </c>
      <c r="B27" s="9" t="inlineStr">
        <is>
          <t>Unknown</t>
        </is>
      </c>
      <c r="C27" s="10" t="inlineStr">
        <is>
          <t>Can you provide the SP SAML metadata or the vendor's SSO configuration page?</t>
        </is>
      </c>
      <c r="D27" s="12" t="inlineStr">
        <is>
          <t>'</t>
        </is>
      </c>
    </row>
  </sheetData>
  <autoFilter ref="A1:D2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68"/>
  <sheetViews>
    <sheetView showGridLines="1" workbookViewId="0">
      <pane ySplit="1" topLeftCell="A2" activePane="bottomLeft" state="frozen"/>
      <selection pane="bottomLeft" activeCell="A1" sqref="A1"/>
    </sheetView>
  </sheetViews>
  <sheetFormatPr baseColWidth="8" defaultRowHeight="15"/>
  <cols>
    <col width="28" customWidth="1" min="1" max="1"/>
    <col width="11" customWidth="1" min="2" max="2"/>
    <col width="32" customWidth="1" min="3" max="3"/>
    <col width="100" customWidth="1" min="4" max="4"/>
  </cols>
  <sheetData>
    <row r="1" ht="30" customHeight="1">
      <c r="A1" s="8" t="inlineStr">
        <is>
          <t>Application</t>
        </is>
      </c>
      <c r="B1" s="8" t="inlineStr">
        <is>
          <t>Severity</t>
        </is>
      </c>
      <c r="C1" s="8" t="inlineStr">
        <is>
          <t>Code</t>
        </is>
      </c>
      <c r="D1" s="8" t="inlineStr">
        <is>
          <t>Message</t>
        </is>
      </c>
    </row>
    <row r="2">
      <c r="A2" s="9" t="inlineStr">
        <is>
          <t>Employee Portal</t>
        </is>
      </c>
      <c r="B2" s="9" t="inlineStr">
        <is>
          <t>WARNING</t>
        </is>
      </c>
      <c r="C2" s="9" t="inlineStr">
        <is>
          <t>OIDC_ACCESS_CONTROL_REQUIRED</t>
        </is>
      </c>
      <c r="D2" s="10" t="inlineStr">
        <is>
          <t>Okta only issues tokens to assigned users. In PingFederate, restrict this OAuth client with an authentication policy or issuance criteria on group membership, otherwise any user who can sign in gets tokens.</t>
        </is>
      </c>
    </row>
    <row r="3">
      <c r="A3" s="9" t="inlineStr">
        <is>
          <t>Employee Portal</t>
        </is>
      </c>
      <c r="B3" s="9" t="inlineStr">
        <is>
          <t>WARNING</t>
        </is>
      </c>
      <c r="C3" s="9" t="inlineStr">
        <is>
          <t>OIDC_NEW_CLIENT_SECRET</t>
        </is>
      </c>
      <c r="D3" s="10" t="inlineStr">
        <is>
          <t>Confidential client using a shared secret. Okta does not hand back existing secrets, so plan a new secret in PingFederate and a coordinated update in the app.</t>
        </is>
      </c>
    </row>
    <row r="4">
      <c r="A4" s="9" t="inlineStr">
        <is>
          <t>Employee Portal</t>
        </is>
      </c>
      <c r="B4" s="9" t="inlineStr">
        <is>
          <t>INFO</t>
        </is>
      </c>
      <c r="C4" s="9" t="inlineStr">
        <is>
          <t>DIRECTORY_SOURCED_GROUPS_ASSIGNED</t>
        </is>
      </c>
      <c r="D4" s="10" t="inlineStr">
        <is>
          <t>1 assigned group(s) come from the directory, so PingFederate can check them through its LDAP data store.</t>
        </is>
      </c>
    </row>
    <row r="5">
      <c r="A5" s="9" t="inlineStr">
        <is>
          <t>Employee Portal</t>
        </is>
      </c>
      <c r="B5" s="9" t="inlineStr">
        <is>
          <t>INFO</t>
        </is>
      </c>
      <c r="C5" s="9" t="inlineStr">
        <is>
          <t>OIDC_ISSUER_CHANGE</t>
        </is>
      </c>
      <c r="D5" s="10" t="inlineStr">
        <is>
          <t>Tokens will be issued by PingFederate, so the issuer, discovery URL and JWKS change. The app must point at PingFederate's /.well-known/openid-configuration at cutover.</t>
        </is>
      </c>
    </row>
    <row r="6">
      <c r="A6" s="9" t="inlineStr">
        <is>
          <t>Employee Portal</t>
        </is>
      </c>
      <c r="B6" s="9" t="inlineStr">
        <is>
          <t>INFO</t>
        </is>
      </c>
      <c r="C6" s="9" t="inlineStr">
        <is>
          <t>OIDC_REFRESH_TOKENS</t>
        </is>
      </c>
      <c r="D6" s="10" t="inlineStr">
        <is>
          <t>The app uses refresh tokens. Okta refresh tokens cannot be moved, so users sign in again once after cutover.</t>
        </is>
      </c>
    </row>
    <row r="7">
      <c r="A7" s="9" t="inlineStr">
        <is>
          <t>Employee Portal</t>
        </is>
      </c>
      <c r="B7" s="9" t="inlineStr">
        <is>
          <t>INFO</t>
        </is>
      </c>
      <c r="C7" s="9" t="inlineStr">
        <is>
          <t>OIDC_SCOPES_CLAIMS_NOT_ANALYSED</t>
        </is>
      </c>
      <c r="D7" s="10" t="inlineStr">
        <is>
          <t>Scopes, custom claims and access policies live on the Okta authorization server and are not analysed yet (next sprint). Review them manually for now.</t>
        </is>
      </c>
    </row>
    <row r="8">
      <c r="A8" s="9" t="inlineStr">
        <is>
          <t>Engineering Wiki (Confluence DC)</t>
        </is>
      </c>
      <c r="B8" s="9" t="inlineStr">
        <is>
          <t>CRITICAL</t>
        </is>
      </c>
      <c r="C8" s="9" t="inlineStr">
        <is>
          <t>CLAIM_NEEDS_OGNL</t>
        </is>
      </c>
      <c r="D8" s="10" t="inlineStr">
        <is>
          <t>Claim 'fullName': OGNL needed (&lt;concatenation&gt;); LDAP inputs: givenName, sn. OGNL is not allowed here, so the value must be pre-computed into a directory attribute.</t>
        </is>
      </c>
    </row>
    <row r="9">
      <c r="A9" s="9" t="inlineStr">
        <is>
          <t>Engineering Wiki (Confluence DC)</t>
        </is>
      </c>
      <c r="B9" s="9" t="inlineStr">
        <is>
          <t>CRITICAL</t>
        </is>
      </c>
      <c r="C9" s="9" t="inlineStr">
        <is>
          <t>CLAIM_NEEDS_OGNL</t>
        </is>
      </c>
      <c r="D9" s="10" t="inlineStr">
        <is>
          <t>Claim 'wikiRole': OGNL needed (&lt;conditional&gt;); LDAP inputs: department. OGNL is not allowed here, so the value must be pre-computed into a directory attribute.</t>
        </is>
      </c>
    </row>
    <row r="10">
      <c r="A10" s="9" t="inlineStr">
        <is>
          <t>Engineering Wiki (Confluence DC)</t>
        </is>
      </c>
      <c r="B10" s="9" t="inlineStr">
        <is>
          <t>WARNING</t>
        </is>
      </c>
      <c r="C10" s="9" t="inlineStr">
        <is>
          <t>ASSIGNMENT_PROFILE_ATTRIBUTES</t>
        </is>
      </c>
      <c r="D10" s="10" t="inlineStr">
        <is>
          <t>Assignments carry app-specific values (e.g. a role per group). PingFederate has nowhere to hold these; store them in the directory or derive them from group membership.</t>
        </is>
      </c>
    </row>
    <row r="11">
      <c r="A11" s="9" t="inlineStr">
        <is>
          <t>Engineering Wiki (Confluence DC)</t>
        </is>
      </c>
      <c r="B11" s="9" t="inlineStr">
        <is>
          <t>WARNING</t>
        </is>
      </c>
      <c r="C11" s="9" t="inlineStr">
        <is>
          <t>CUSTOM_IDP_ISSUER</t>
        </is>
      </c>
      <c r="D11" s="10" t="inlineStr">
        <is>
          <t>The SP expects the custom issuer 'https://sso.northwind.example/wiki'. Either set a matching virtual server ID on the PingFederate connection or change the issuer on the SP.</t>
        </is>
      </c>
    </row>
    <row r="12">
      <c r="A12" s="9" t="inlineStr">
        <is>
          <t>Engineering Wiki (Confluence DC)</t>
        </is>
      </c>
      <c r="B12" s="9" t="inlineStr">
        <is>
          <t>WARNING</t>
        </is>
      </c>
      <c r="C12" s="9" t="inlineStr">
        <is>
          <t>GROUP_CLAIM</t>
        </is>
      </c>
      <c r="D12" s="10" t="inlineStr">
        <is>
          <t>Group claim 'groups' (REGEX 'ENG-.*') matches 4 tenant group(s). Chained LDAP attribute source returning cn, e.g. (&amp;(objectClass=group)(member=&lt;user DN&gt;)(cn=ENG-*)). Check whether the SP expects nested group membership.</t>
        </is>
      </c>
    </row>
    <row r="13">
      <c r="A13" s="9" t="inlineStr">
        <is>
          <t>Engineering Wiki (Confluence DC)</t>
        </is>
      </c>
      <c r="B13" s="9" t="inlineStr">
        <is>
          <t>WARNING</t>
        </is>
      </c>
      <c r="C13" s="9" t="inlineStr">
        <is>
          <t>GROUP_CLAIM_OKTA_NATIVE_GROUPS</t>
        </is>
      </c>
      <c r="D13" s="10" t="inlineStr">
        <is>
          <t>Group claim 'groups' includes 1 Okta-only group(s) that PingFederate cannot see: ENG-Contractors. Create them in the directory or accept that they drop out of the assertion.</t>
        </is>
      </c>
    </row>
    <row r="14">
      <c r="A14" s="9" t="inlineStr">
        <is>
          <t>Engineering Wiki (Confluence DC)</t>
        </is>
      </c>
      <c r="B14" s="9" t="inlineStr">
        <is>
          <t>WARNING</t>
        </is>
      </c>
      <c r="C14" s="9" t="inlineStr">
        <is>
          <t>ISSUANCE_CRITERIA_REQUIRED</t>
        </is>
      </c>
      <c r="D14" s="10" t="inlineStr">
        <is>
          <t>Okta limits this app to assigned users. PingFederate has no app assignments, so without issuance criteria (or an authentication policy rule) on the SP connection, any user who can sign in gets an assertion. Restrict on group membership.</t>
        </is>
      </c>
    </row>
    <row r="15">
      <c r="A15" s="9" t="inlineStr">
        <is>
          <t>Engineering Wiki (Confluence DC)</t>
        </is>
      </c>
      <c r="B15" s="9" t="inlineStr">
        <is>
          <t>INFO</t>
        </is>
      </c>
      <c r="C15" s="9" t="inlineStr">
        <is>
          <t>DEFAULT_RELAY_STATE</t>
        </is>
      </c>
      <c r="D15" s="10" t="inlineStr">
        <is>
          <t>A default RelayState is set. Use it as the TargetResource for IdP-initiated SSO links.</t>
        </is>
      </c>
    </row>
    <row r="16">
      <c r="A16" s="9" t="inlineStr">
        <is>
          <t>Engineering Wiki (Confluence DC)</t>
        </is>
      </c>
      <c r="B16" s="9" t="inlineStr">
        <is>
          <t>INFO</t>
        </is>
      </c>
      <c r="C16" s="9" t="inlineStr">
        <is>
          <t>DIRECTORY_SOURCED_GROUPS_ASSIGNED</t>
        </is>
      </c>
      <c r="D16" s="10" t="inlineStr">
        <is>
          <t>3 assigned group(s) come from the directory, so PingFederate can check them through its LDAP data store.</t>
        </is>
      </c>
    </row>
    <row r="17">
      <c r="A17" s="9" t="inlineStr">
        <is>
          <t>Engineering Wiki (Confluence DC)</t>
        </is>
      </c>
      <c r="B17" s="9" t="inlineStr">
        <is>
          <t>INFO</t>
        </is>
      </c>
      <c r="C17" s="9" t="inlineStr">
        <is>
          <t>MULTIPLE_ACS</t>
        </is>
      </c>
      <c r="D17" s="10" t="inlineStr">
        <is>
          <t>2 ACS endpoints. Add each to the SP connection with the same index.</t>
        </is>
      </c>
    </row>
    <row r="18">
      <c r="A18" s="9" t="inlineStr">
        <is>
          <t>Engineering Wiki (Confluence DC)</t>
        </is>
      </c>
      <c r="B18" s="9" t="inlineStr">
        <is>
          <t>INFO</t>
        </is>
      </c>
      <c r="C18" s="9" t="inlineStr">
        <is>
          <t>RESPONSE_AND_ASSERTION_SIGNED</t>
        </is>
      </c>
      <c r="D18" s="10" t="inlineStr">
        <is>
          <t>Okta signs both response and assertion. Enable 'Always sign the SAML assertion' on the SP connection so the SP still gets a signed assertion.</t>
        </is>
      </c>
    </row>
    <row r="19">
      <c r="A19" s="9" t="inlineStr">
        <is>
          <t>Engineering Wiki (Confluence DC)</t>
        </is>
      </c>
      <c r="B19" s="9" t="inlineStr">
        <is>
          <t>INFO</t>
        </is>
      </c>
      <c r="C19" s="9" t="inlineStr">
        <is>
          <t>SIGNED_AUTHN_REQUESTS</t>
        </is>
      </c>
      <c r="D19" s="10" t="inlineStr">
        <is>
          <t>The SP signs AuthnRequests. Import its signing certificate into the SP connection.</t>
        </is>
      </c>
    </row>
    <row r="20">
      <c r="A20" s="9" t="inlineStr">
        <is>
          <t>Engineering Wiki (Confluence DC)</t>
        </is>
      </c>
      <c r="B20" s="9" t="inlineStr">
        <is>
          <t>INFO</t>
        </is>
      </c>
      <c r="C20" s="9" t="inlineStr">
        <is>
          <t>SLO_ENABLED</t>
        </is>
      </c>
      <c r="D20" s="10" t="inlineStr">
        <is>
          <t>Single logout is enabled. Enable SLO on the SP connection and add the SP's SLO endpoint.</t>
        </is>
      </c>
    </row>
    <row r="21">
      <c r="A21" s="9" t="inlineStr">
        <is>
          <t>Expense Portal</t>
        </is>
      </c>
      <c r="B21" s="9" t="inlineStr">
        <is>
          <t>WARNING</t>
        </is>
      </c>
      <c r="C21" s="9" t="inlineStr">
        <is>
          <t>DUPLICATE_SP_ENTITY_ID</t>
        </is>
      </c>
      <c r="D21" s="10" t="inlineStr">
        <is>
          <t>SP entity ID 'https://expenses.northwind.example' is also used by: Expense Portal (UAT). PingFederate identifies each SP connection by its partner entity ID, so these cannot be separate connections as-is.</t>
        </is>
      </c>
    </row>
    <row r="22">
      <c r="A22" s="9" t="inlineStr">
        <is>
          <t>Expense Portal</t>
        </is>
      </c>
      <c r="B22" s="9" t="inlineStr">
        <is>
          <t>WARNING</t>
        </is>
      </c>
      <c r="C22" s="9" t="inlineStr">
        <is>
          <t>ISSUANCE_CRITERIA_REQUIRED</t>
        </is>
      </c>
      <c r="D22" s="10" t="inlineStr">
        <is>
          <t>Okta limits this app to assigned users. PingFederate has no app assignments, so without issuance criteria (or an authentication policy rule) on the SP connection, any user who can sign in gets an assertion. Restrict on group membership.</t>
        </is>
      </c>
    </row>
    <row r="23">
      <c r="A23" s="9" t="inlineStr">
        <is>
          <t>Expense Portal</t>
        </is>
      </c>
      <c r="B23" s="9" t="inlineStr">
        <is>
          <t>INFO</t>
        </is>
      </c>
      <c r="C23" s="9" t="inlineStr">
        <is>
          <t>DIRECTORY_SOURCED_GROUPS_ASSIGNED</t>
        </is>
      </c>
      <c r="D23" s="10" t="inlineStr">
        <is>
          <t>1 assigned group(s) come from the directory, so PingFederate can check them through its LDAP data store.</t>
        </is>
      </c>
    </row>
    <row r="24">
      <c r="A24" s="9" t="inlineStr">
        <is>
          <t>Expense Portal</t>
        </is>
      </c>
      <c r="B24" s="9" t="inlineStr">
        <is>
          <t>INFO</t>
        </is>
      </c>
      <c r="C24" s="9" t="inlineStr">
        <is>
          <t>RESPONSE_AND_ASSERTION_SIGNED</t>
        </is>
      </c>
      <c r="D24" s="10" t="inlineStr">
        <is>
          <t>Okta signs both response and assertion. Enable 'Always sign the SAML assertion' on the SP connection so the SP still gets a signed assertion.</t>
        </is>
      </c>
    </row>
    <row r="25">
      <c r="A25" s="9" t="inlineStr">
        <is>
          <t>Expense Portal (UAT)</t>
        </is>
      </c>
      <c r="B25" s="9" t="inlineStr">
        <is>
          <t>WARNING</t>
        </is>
      </c>
      <c r="C25" s="9" t="inlineStr">
        <is>
          <t>DUPLICATE_SP_ENTITY_ID</t>
        </is>
      </c>
      <c r="D25" s="10" t="inlineStr">
        <is>
          <t>SP entity ID 'https://expenses.northwind.example' is also used by: Expense Portal. PingFederate identifies each SP connection by its partner entity ID, so these cannot be separate connections as-is.</t>
        </is>
      </c>
    </row>
    <row r="26">
      <c r="A26" s="9" t="inlineStr">
        <is>
          <t>Expense Portal (UAT)</t>
        </is>
      </c>
      <c r="B26" s="9" t="inlineStr">
        <is>
          <t>WARNING</t>
        </is>
      </c>
      <c r="C26" s="9" t="inlineStr">
        <is>
          <t>ISSUANCE_CRITERIA_REQUIRED</t>
        </is>
      </c>
      <c r="D26" s="10" t="inlineStr">
        <is>
          <t>Okta limits this app to assigned users. PingFederate has no app assignments, so without issuance criteria (or an authentication policy rule) on the SP connection, any user who can sign in gets an assertion. Restrict on group membership.</t>
        </is>
      </c>
    </row>
    <row r="27">
      <c r="A27" s="9" t="inlineStr">
        <is>
          <t>Expense Portal (UAT)</t>
        </is>
      </c>
      <c r="B27" s="9" t="inlineStr">
        <is>
          <t>WARNING</t>
        </is>
      </c>
      <c r="C27" s="9" t="inlineStr">
        <is>
          <t>OKTA_NATIVE_GROUPS_ASSIGNED</t>
        </is>
      </c>
      <c r="D27" s="10" t="inlineStr">
        <is>
          <t>1 assigned group(s) exist only in Okta. Create and populate them in the directory before the issuance criteria can use them.</t>
        </is>
      </c>
    </row>
    <row r="28">
      <c r="A28" s="9" t="inlineStr">
        <is>
          <t>Expense Portal (UAT)</t>
        </is>
      </c>
      <c r="B28" s="9" t="inlineStr">
        <is>
          <t>WARNING</t>
        </is>
      </c>
      <c r="C28" s="9" t="inlineStr">
        <is>
          <t>UNUSED_IN_WINDOW</t>
        </is>
      </c>
      <c r="D28" s="10" t="inlineStr">
        <is>
          <t>No successful sign-ins in the last 90 days although 5 user(s) are assigned. Strong decommission candidate: confirm with the owner before migrating.</t>
        </is>
      </c>
    </row>
    <row r="29">
      <c r="A29" s="9" t="inlineStr">
        <is>
          <t>Expense Portal (UAT)</t>
        </is>
      </c>
      <c r="B29" s="9" t="inlineStr">
        <is>
          <t>INFO</t>
        </is>
      </c>
      <c r="C29" s="9" t="inlineStr">
        <is>
          <t>RESPONSE_AND_ASSERTION_SIGNED</t>
        </is>
      </c>
      <c r="D29" s="10" t="inlineStr">
        <is>
          <t>Okta signs both response and assertion. Enable 'Always sign the SAML assertion' on the SP connection so the SP still gets a signed assertion.</t>
        </is>
      </c>
    </row>
    <row r="30">
      <c r="A30" s="9" t="inlineStr">
        <is>
          <t>HR Analytics (Tableau)</t>
        </is>
      </c>
      <c r="B30" s="9" t="inlineStr">
        <is>
          <t>CRITICAL</t>
        </is>
      </c>
      <c r="C30" s="9" t="inlineStr">
        <is>
          <t>CLAIM_NEEDS_OGNL</t>
        </is>
      </c>
      <c r="D30" s="10" t="inlineStr">
        <is>
          <t>Claim 'displayName': OGNL needed (&lt;concatenation&gt;); LDAP inputs: givenName, sn. OGNL is not allowed here, so the value must be pre-computed into a directory attribute.</t>
        </is>
      </c>
    </row>
    <row r="31">
      <c r="A31" s="9" t="inlineStr">
        <is>
          <t>HR Analytics (Tableau)</t>
        </is>
      </c>
      <c r="B31" s="9" t="inlineStr">
        <is>
          <t>CRITICAL</t>
        </is>
      </c>
      <c r="C31" s="9" t="inlineStr">
        <is>
          <t>CLAIM_NEEDS_OGNL</t>
        </is>
      </c>
      <c r="D31" s="10" t="inlineStr">
        <is>
          <t>Claim 'username': OGNL needed (String.substringBefore); LDAP inputs: userPrincipalName. OGNL is not allowed here, so the value must be pre-computed into a directory attribute.</t>
        </is>
      </c>
    </row>
    <row r="32">
      <c r="A32" s="9" t="inlineStr">
        <is>
          <t>HR Analytics (Tableau)</t>
        </is>
      </c>
      <c r="B32" s="9" t="inlineStr">
        <is>
          <t>WARNING</t>
        </is>
      </c>
      <c r="C32" s="9" t="inlineStr">
        <is>
          <t>APPUSER_ATTRIBUTE_CLAIM</t>
        </is>
      </c>
      <c r="D32" s="10" t="inlineStr">
        <is>
          <t>Claim 'costCenter' reads an Okta app-user attribute. Store the value in the directory (or derive it from groups) so PingFederate has a source.</t>
        </is>
      </c>
    </row>
    <row r="33">
      <c r="A33" s="9" t="inlineStr">
        <is>
          <t>HR Analytics (Tableau)</t>
        </is>
      </c>
      <c r="B33" s="9" t="inlineStr">
        <is>
          <t>WARNING</t>
        </is>
      </c>
      <c r="C33" s="9" t="inlineStr">
        <is>
          <t>ASSIGNMENT_PROFILE_ATTRIBUTES</t>
        </is>
      </c>
      <c r="D33" s="10" t="inlineStr">
        <is>
          <t>Assignments carry app-specific values (e.g. a role per group). PingFederate has nowhere to hold these; store them in the directory or derive them from group membership.</t>
        </is>
      </c>
    </row>
    <row r="34">
      <c r="A34" s="9" t="inlineStr">
        <is>
          <t>HR Analytics (Tableau)</t>
        </is>
      </c>
      <c r="B34" s="9" t="inlineStr">
        <is>
          <t>WARNING</t>
        </is>
      </c>
      <c r="C34" s="9" t="inlineStr">
        <is>
          <t>CERT_EXPIRING</t>
        </is>
      </c>
      <c r="D34" s="10" t="inlineStr">
        <is>
          <t>Active signing certificate expires in 44 days (2026-11-11). Migrating before expiry avoids a rotation on Okta.</t>
        </is>
      </c>
    </row>
    <row r="35">
      <c r="A35" s="9" t="inlineStr">
        <is>
          <t>HR Analytics (Tableau)</t>
        </is>
      </c>
      <c r="B35" s="9" t="inlineStr">
        <is>
          <t>WARNING</t>
        </is>
      </c>
      <c r="C35" s="9" t="inlineStr">
        <is>
          <t>DIRECT_USER_ASSIGNMENTS</t>
        </is>
      </c>
      <c r="D35" s="10" t="inlineStr">
        <is>
          <t>2 user(s) are assigned directly. PingFederate has no per-user app assignment; put these users in a directory group and use it in issuance criteria.</t>
        </is>
      </c>
    </row>
    <row r="36">
      <c r="A36" s="9" t="inlineStr">
        <is>
          <t>HR Analytics (Tableau)</t>
        </is>
      </c>
      <c r="B36" s="9" t="inlineStr">
        <is>
          <t>WARNING</t>
        </is>
      </c>
      <c r="C36" s="9" t="inlineStr">
        <is>
          <t>ISSUANCE_CRITERIA_REQUIRED</t>
        </is>
      </c>
      <c r="D36" s="10" t="inlineStr">
        <is>
          <t>Okta limits this app to assigned users. PingFederate has no app assignments, so without issuance criteria (or an authentication policy rule) on the SP connection, any user who can sign in gets an assertion. Restrict on group membership.</t>
        </is>
      </c>
    </row>
    <row r="37">
      <c r="A37" s="9" t="inlineStr">
        <is>
          <t>HR Analytics (Tableau)</t>
        </is>
      </c>
      <c r="B37" s="9" t="inlineStr">
        <is>
          <t>WARNING</t>
        </is>
      </c>
      <c r="C37" s="9" t="inlineStr">
        <is>
          <t>OKTA_NATIVE_GROUPS_ASSIGNED</t>
        </is>
      </c>
      <c r="D37" s="10" t="inlineStr">
        <is>
          <t>1 assigned group(s) exist only in Okta. Create and populate them in the directory before the issuance criteria can use them.</t>
        </is>
      </c>
    </row>
    <row r="38">
      <c r="A38" s="9" t="inlineStr">
        <is>
          <t>HR Analytics (Tableau)</t>
        </is>
      </c>
      <c r="B38" s="9" t="inlineStr">
        <is>
          <t>INFO</t>
        </is>
      </c>
      <c r="C38" s="9" t="inlineStr">
        <is>
          <t>RESPONSE_AND_ASSERTION_SIGNED</t>
        </is>
      </c>
      <c r="D38" s="10" t="inlineStr">
        <is>
          <t>Okta signs both response and assertion. Enable 'Always sign the SAML assertion' on the SP connection so the SP still gets a signed assertion.</t>
        </is>
      </c>
    </row>
    <row r="39">
      <c r="A39" s="9" t="inlineStr">
        <is>
          <t>Legacy Intranet SPA</t>
        </is>
      </c>
      <c r="B39" s="9" t="inlineStr">
        <is>
          <t>WARNING</t>
        </is>
      </c>
      <c r="C39" s="9" t="inlineStr">
        <is>
          <t>DIRECT_USER_ASSIGNMENTS</t>
        </is>
      </c>
      <c r="D39" s="10" t="inlineStr">
        <is>
          <t>1 user(s) are assigned directly. PingFederate has no per-user app assignment; put these users in a directory group and use it in issuance criteria.</t>
        </is>
      </c>
    </row>
    <row r="40">
      <c r="A40" s="9" t="inlineStr">
        <is>
          <t>Legacy Intranet SPA</t>
        </is>
      </c>
      <c r="B40" s="9" t="inlineStr">
        <is>
          <t>WARNING</t>
        </is>
      </c>
      <c r="C40" s="9" t="inlineStr">
        <is>
          <t>OIDC_ACCESS_CONTROL_REQUIRED</t>
        </is>
      </c>
      <c r="D40" s="10" t="inlineStr">
        <is>
          <t>Okta only issues tokens to assigned users. In PingFederate, restrict this OAuth client with an authentication policy or issuance criteria on group membership, otherwise any user who can sign in gets tokens.</t>
        </is>
      </c>
    </row>
    <row r="41">
      <c r="A41" s="9" t="inlineStr">
        <is>
          <t>Legacy Intranet SPA</t>
        </is>
      </c>
      <c r="B41" s="9" t="inlineStr">
        <is>
          <t>WARNING</t>
        </is>
      </c>
      <c r="C41" s="9" t="inlineStr">
        <is>
          <t>OIDC_IMPLICIT_GRANT</t>
        </is>
      </c>
      <c r="D41" s="10" t="inlineStr">
        <is>
          <t>Implicit grant is enabled. It is deprecated; use the move to switch the app to authorization code with PKCE.</t>
        </is>
      </c>
    </row>
    <row r="42">
      <c r="A42" s="9" t="inlineStr">
        <is>
          <t>Legacy Intranet SPA</t>
        </is>
      </c>
      <c r="B42" s="9" t="inlineStr">
        <is>
          <t>WARNING</t>
        </is>
      </c>
      <c r="C42" s="9" t="inlineStr">
        <is>
          <t>OIDC_WILDCARD_REDIRECT</t>
        </is>
      </c>
      <c r="D42" s="10" t="inlineStr">
        <is>
          <t>Wildcard redirect URIs are used. Confirm PingFederate's redirect URI matching will accept the same values, or list them explicitly.</t>
        </is>
      </c>
    </row>
    <row r="43">
      <c r="A43" s="9" t="inlineStr">
        <is>
          <t>Legacy Intranet SPA</t>
        </is>
      </c>
      <c r="B43" s="9" t="inlineStr">
        <is>
          <t>WARNING</t>
        </is>
      </c>
      <c r="C43" s="9" t="inlineStr">
        <is>
          <t>OKTA_NATIVE_GROUPS_ASSIGNED</t>
        </is>
      </c>
      <c r="D43" s="10" t="inlineStr">
        <is>
          <t>1 assigned group(s) exist only in Okta. Create and populate them in the directory before the issuance criteria can use them.</t>
        </is>
      </c>
    </row>
    <row r="44">
      <c r="A44" s="9" t="inlineStr">
        <is>
          <t>Legacy Intranet SPA</t>
        </is>
      </c>
      <c r="B44" s="9" t="inlineStr">
        <is>
          <t>WARNING</t>
        </is>
      </c>
      <c r="C44" s="9" t="inlineStr">
        <is>
          <t>UNUSED_IN_WINDOW</t>
        </is>
      </c>
      <c r="D44" s="10" t="inlineStr">
        <is>
          <t>No successful sign-ins in the last 90 days although 9 user(s) are assigned. Strong decommission candidate: confirm with the owner before migrating.</t>
        </is>
      </c>
    </row>
    <row r="45">
      <c r="A45" s="9" t="inlineStr">
        <is>
          <t>Legacy Intranet SPA</t>
        </is>
      </c>
      <c r="B45" s="9" t="inlineStr">
        <is>
          <t>INFO</t>
        </is>
      </c>
      <c r="C45" s="9" t="inlineStr">
        <is>
          <t>OIDC_ISSUER_CHANGE</t>
        </is>
      </c>
      <c r="D45" s="10" t="inlineStr">
        <is>
          <t>Tokens will be issued by PingFederate, so the issuer, discovery URL and JWKS change. The app must point at PingFederate's /.well-known/openid-configuration at cutover.</t>
        </is>
      </c>
    </row>
    <row r="46">
      <c r="A46" s="9" t="inlineStr">
        <is>
          <t>Legacy Intranet SPA</t>
        </is>
      </c>
      <c r="B46" s="9" t="inlineStr">
        <is>
          <t>INFO</t>
        </is>
      </c>
      <c r="C46" s="9" t="inlineStr">
        <is>
          <t>OIDC_SCOPES_CLAIMS_NOT_ANALYSED</t>
        </is>
      </c>
      <c r="D46" s="10" t="inlineStr">
        <is>
          <t>Scopes, custom claims and access policies live on the Okta authorization server and are not analysed yet (next sprint). Review them manually for now.</t>
        </is>
      </c>
    </row>
    <row r="47">
      <c r="A47" s="9" t="inlineStr">
        <is>
          <t>Legacy Travel Booking</t>
        </is>
      </c>
      <c r="B47" s="9" t="inlineStr">
        <is>
          <t>CRITICAL</t>
        </is>
      </c>
      <c r="C47" s="9" t="inlineStr">
        <is>
          <t>CERT_EXPIRED</t>
        </is>
      </c>
      <c r="D47" s="10" t="inlineStr">
        <is>
          <t>Active signing certificate expired on 2026-03-01.</t>
        </is>
      </c>
    </row>
    <row r="48">
      <c r="A48" s="9" t="inlineStr">
        <is>
          <t>Legacy Travel Booking</t>
        </is>
      </c>
      <c r="B48" s="9" t="inlineStr">
        <is>
          <t>CRITICAL</t>
        </is>
      </c>
      <c r="C48" s="9" t="inlineStr">
        <is>
          <t>NAMEID_IS_OKTA_USER_ID</t>
        </is>
      </c>
      <c r="D48" s="10" t="inlineStr">
        <is>
          <t>NameID is the Okta user id. PingFederate can only emit it if the id is copied into a directory attribute before cutover; otherwise the SP must re-link accounts.</t>
        </is>
      </c>
    </row>
    <row r="49">
      <c r="A49" s="9" t="inlineStr">
        <is>
          <t>Legacy Travel Booking</t>
        </is>
      </c>
      <c r="B49" s="9" t="inlineStr">
        <is>
          <t>WARNING</t>
        </is>
      </c>
      <c r="C49" s="9" t="inlineStr">
        <is>
          <t>NO_ASSIGNMENTS</t>
        </is>
      </c>
      <c r="D49" s="10" t="inlineStr">
        <is>
          <t>No users or groups are assigned. Likely a decommission candidate rather than a migration.</t>
        </is>
      </c>
    </row>
    <row r="50">
      <c r="A50" s="9" t="inlineStr">
        <is>
          <t>Legacy Travel Booking</t>
        </is>
      </c>
      <c r="B50" s="9" t="inlineStr">
        <is>
          <t>INFO</t>
        </is>
      </c>
      <c r="C50" s="9" t="inlineStr">
        <is>
          <t>APP_INACTIVE</t>
        </is>
      </c>
      <c r="D50" s="10" t="inlineStr">
        <is>
          <t>App is INACTIVE in Okta. Confirm with the owner whether to migrate or decommission.</t>
        </is>
      </c>
    </row>
    <row r="51">
      <c r="A51" s="9" t="inlineStr">
        <is>
          <t>Legacy Travel Booking</t>
        </is>
      </c>
      <c r="B51" s="9" t="inlineStr">
        <is>
          <t>INFO</t>
        </is>
      </c>
      <c r="C51" s="9" t="inlineStr">
        <is>
          <t>RESPONSE_AND_ASSERTION_SIGNED</t>
        </is>
      </c>
      <c r="D51" s="10" t="inlineStr">
        <is>
          <t>Okta signs both response and assertion. Enable 'Always sign the SAML assertion' on the SP connection so the SP still gets a signed assertion.</t>
        </is>
      </c>
    </row>
    <row r="52">
      <c r="A52" s="9" t="inlineStr">
        <is>
          <t>Legacy Travel Booking</t>
        </is>
      </c>
      <c r="B52" s="9" t="inlineStr">
        <is>
          <t>INFO</t>
        </is>
      </c>
      <c r="C52" s="9" t="inlineStr">
        <is>
          <t>SHA1_SIGNATURE</t>
        </is>
      </c>
      <c r="D52" s="10" t="inlineStr">
        <is>
          <t>SHA-1 signing is used. Agree a move to SHA-256 with the vendor at cutover.</t>
        </is>
      </c>
    </row>
    <row r="53">
      <c r="A53" s="9" t="inlineStr">
        <is>
          <t>Mobile Expenses</t>
        </is>
      </c>
      <c r="B53" s="9" t="inlineStr">
        <is>
          <t>WARNING</t>
        </is>
      </c>
      <c r="C53" s="9" t="inlineStr">
        <is>
          <t>OIDC_ACCESS_CONTROL_REQUIRED</t>
        </is>
      </c>
      <c r="D53" s="10" t="inlineStr">
        <is>
          <t>Okta only issues tokens to assigned users. In PingFederate, restrict this OAuth client with an authentication policy or issuance criteria on group membership, otherwise any user who can sign in gets tokens.</t>
        </is>
      </c>
    </row>
    <row r="54">
      <c r="A54" s="9" t="inlineStr">
        <is>
          <t>Mobile Expenses</t>
        </is>
      </c>
      <c r="B54" s="9" t="inlineStr">
        <is>
          <t>WARNING</t>
        </is>
      </c>
      <c r="C54" s="9" t="inlineStr">
        <is>
          <t>OKTA_NATIVE_GROUPS_ASSIGNED</t>
        </is>
      </c>
      <c r="D54" s="10" t="inlineStr">
        <is>
          <t>1 assigned group(s) exist only in Okta. Create and populate them in the directory before the issuance criteria can use them.</t>
        </is>
      </c>
    </row>
    <row r="55">
      <c r="A55" s="9" t="inlineStr">
        <is>
          <t>Mobile Expenses</t>
        </is>
      </c>
      <c r="B55" s="9" t="inlineStr">
        <is>
          <t>INFO</t>
        </is>
      </c>
      <c r="C55" s="9" t="inlineStr">
        <is>
          <t>OIDC_ISSUER_CHANGE</t>
        </is>
      </c>
      <c r="D55" s="10" t="inlineStr">
        <is>
          <t>Tokens will be issued by PingFederate, so the issuer, discovery URL and JWKS change. The app must point at PingFederate's /.well-known/openid-configuration at cutover.</t>
        </is>
      </c>
    </row>
    <row r="56">
      <c r="A56" s="9" t="inlineStr">
        <is>
          <t>Mobile Expenses</t>
        </is>
      </c>
      <c r="B56" s="9" t="inlineStr">
        <is>
          <t>INFO</t>
        </is>
      </c>
      <c r="C56" s="9" t="inlineStr">
        <is>
          <t>OIDC_REFRESH_TOKENS</t>
        </is>
      </c>
      <c r="D56" s="10" t="inlineStr">
        <is>
          <t>The app uses refresh tokens. Okta refresh tokens cannot be moved, so users sign in again once after cutover.</t>
        </is>
      </c>
    </row>
    <row r="57">
      <c r="A57" s="9" t="inlineStr">
        <is>
          <t>Mobile Expenses</t>
        </is>
      </c>
      <c r="B57" s="9" t="inlineStr">
        <is>
          <t>INFO</t>
        </is>
      </c>
      <c r="C57" s="9" t="inlineStr">
        <is>
          <t>OIDC_SCOPES_CLAIMS_NOT_ANALYSED</t>
        </is>
      </c>
      <c r="D57" s="10" t="inlineStr">
        <is>
          <t>Scopes, custom claims and access policies live on the Okta authorization server and are not analysed yet (next sprint). Review them manually for now.</t>
        </is>
      </c>
    </row>
    <row r="58">
      <c r="A58" s="9" t="inlineStr">
        <is>
          <t>Reporting API</t>
        </is>
      </c>
      <c r="B58" s="9" t="inlineStr">
        <is>
          <t>INFO</t>
        </is>
      </c>
      <c r="C58" s="9" t="inlineStr">
        <is>
          <t>OIDC_ISSUER_CHANGE</t>
        </is>
      </c>
      <c r="D58" s="10" t="inlineStr">
        <is>
          <t>Tokens will be issued by PingFederate, so the issuer, discovery URL and JWKS change. The app must point at PingFederate's /.well-known/openid-configuration at cutover.</t>
        </is>
      </c>
    </row>
    <row r="59">
      <c r="A59" s="9" t="inlineStr">
        <is>
          <t>Reporting API</t>
        </is>
      </c>
      <c r="B59" s="9" t="inlineStr">
        <is>
          <t>INFO</t>
        </is>
      </c>
      <c r="C59" s="9" t="inlineStr">
        <is>
          <t>OIDC_MACHINE_CLIENT</t>
        </is>
      </c>
      <c r="D59" s="10" t="inlineStr">
        <is>
          <t>Machine-to-machine client (client_credentials): no users are assigned by design. Identify the calling system's owner and the APIs (scopes) it needs.</t>
        </is>
      </c>
    </row>
    <row r="60">
      <c r="A60" s="9" t="inlineStr">
        <is>
          <t>Reporting API</t>
        </is>
      </c>
      <c r="B60" s="9" t="inlineStr">
        <is>
          <t>INFO</t>
        </is>
      </c>
      <c r="C60" s="9" t="inlineStr">
        <is>
          <t>OIDC_PRIVATE_KEY_JWT</t>
        </is>
      </c>
      <c r="D60" s="10" t="inlineStr">
        <is>
          <t>The client authenticates with private_key_jwt. Register its public key (JWKS) on the PingFederate client; no secret needs to change.</t>
        </is>
      </c>
    </row>
    <row r="61">
      <c r="A61" s="9" t="inlineStr">
        <is>
          <t>Reporting API</t>
        </is>
      </c>
      <c r="B61" s="9" t="inlineStr">
        <is>
          <t>INFO</t>
        </is>
      </c>
      <c r="C61" s="9" t="inlineStr">
        <is>
          <t>OIDC_SCOPES_CLAIMS_NOT_ANALYSED</t>
        </is>
      </c>
      <c r="D61" s="10" t="inlineStr">
        <is>
          <t>Scopes, custom claims and access policies live on the Okta authorization server and are not analysed yet (next sprint). Review them manually for now.</t>
        </is>
      </c>
    </row>
    <row r="62">
      <c r="A62" s="9" t="inlineStr">
        <is>
          <t>Salesforce</t>
        </is>
      </c>
      <c r="B62" s="9" t="inlineStr">
        <is>
          <t>WARNING</t>
        </is>
      </c>
      <c r="C62" s="9" t="inlineStr">
        <is>
          <t>CATALOG_APP_PARTIAL_CONFIG</t>
        </is>
      </c>
      <c r="D62" s="10" t="inlineStr">
        <is>
          <t>OIN catalog app ('salesforce'). Okta's API does not return the SP's ACS URL, entity ID or built-in claims. Get the SP metadata from the vendor; PingFederate can import it when creating the SP connection.</t>
        </is>
      </c>
    </row>
    <row r="63">
      <c r="A63" s="9" t="inlineStr">
        <is>
          <t>Salesforce</t>
        </is>
      </c>
      <c r="B63" s="9" t="inlineStr">
        <is>
          <t>WARNING</t>
        </is>
      </c>
      <c r="C63" s="9" t="inlineStr">
        <is>
          <t>CUSTOM_APP_USERNAME</t>
        </is>
      </c>
      <c r="D63" s="10" t="inlineStr">
        <is>
          <t>Custom Okta app username '${source.employeeNumber}@northwind.sfdc'. The SP likely keys accounts on it; PingFederate must produce the identical value (OGNL or a directory attribute).</t>
        </is>
      </c>
    </row>
    <row r="64">
      <c r="A64" s="9" t="inlineStr">
        <is>
          <t>Salesforce</t>
        </is>
      </c>
      <c r="B64" s="9" t="inlineStr">
        <is>
          <t>WARNING</t>
        </is>
      </c>
      <c r="C64" s="9" t="inlineStr">
        <is>
          <t>ISSUANCE_CRITERIA_REQUIRED</t>
        </is>
      </c>
      <c r="D64" s="10" t="inlineStr">
        <is>
          <t>Okta limits this app to assigned users. PingFederate has no app assignments, so without issuance criteria (or an authentication policy rule) on the SP connection, any user who can sign in gets an assertion. Restrict on group membership.</t>
        </is>
      </c>
    </row>
    <row r="65">
      <c r="A65" s="9" t="inlineStr">
        <is>
          <t>Salesforce</t>
        </is>
      </c>
      <c r="B65" s="9" t="inlineStr">
        <is>
          <t>WARNING</t>
        </is>
      </c>
      <c r="C65" s="9" t="inlineStr">
        <is>
          <t>OKTA_NATIVE_GROUPS_ASSIGNED</t>
        </is>
      </c>
      <c r="D65" s="10" t="inlineStr">
        <is>
          <t>1 assigned group(s) exist only in Okta. Create and populate them in the directory before the issuance criteria can use them.</t>
        </is>
      </c>
    </row>
    <row r="66">
      <c r="A66" s="9" t="inlineStr">
        <is>
          <t>ServiceNow</t>
        </is>
      </c>
      <c r="B66" s="9" t="inlineStr">
        <is>
          <t>WARNING</t>
        </is>
      </c>
      <c r="C66" s="9" t="inlineStr">
        <is>
          <t>CATALOG_APP_PARTIAL_CONFIG</t>
        </is>
      </c>
      <c r="D66" s="10" t="inlineStr">
        <is>
          <t>OIN catalog app ('servicenow_ud'). Okta's API does not return the SP's ACS URL, entity ID or built-in claims. Get the SP metadata from the vendor; PingFederate can import it when creating the SP connection.</t>
        </is>
      </c>
    </row>
    <row r="67">
      <c r="A67" s="9" t="inlineStr">
        <is>
          <t>ServiceNow</t>
        </is>
      </c>
      <c r="B67" s="9" t="inlineStr">
        <is>
          <t>WARNING</t>
        </is>
      </c>
      <c r="C67" s="9" t="inlineStr">
        <is>
          <t>ISSUANCE_CRITERIA_REQUIRED</t>
        </is>
      </c>
      <c r="D67" s="10" t="inlineStr">
        <is>
          <t>Okta limits this app to assigned users. PingFederate has no app assignments, so without issuance criteria (or an authentication policy rule) on the SP connection, any user who can sign in gets an assertion. Restrict on group membership.</t>
        </is>
      </c>
    </row>
    <row r="68">
      <c r="A68" s="9" t="inlineStr">
        <is>
          <t>ServiceNow</t>
        </is>
      </c>
      <c r="B68" s="9" t="inlineStr">
        <is>
          <t>WARNING</t>
        </is>
      </c>
      <c r="C68" s="9" t="inlineStr">
        <is>
          <t>OKTA_NATIVE_GROUPS_ASSIGNED</t>
        </is>
      </c>
      <c r="D68" s="10" t="inlineStr">
        <is>
          <t>2 assigned group(s) exist only in Okta. Create and populate them in the directory before the issuance criteria can use them.</t>
        </is>
      </c>
    </row>
  </sheetData>
  <autoFilter ref="A1:D68"/>
  <conditionalFormatting sqref="B2:B68">
    <cfRule type="expression" priority="1" dxfId="3">
      <formula>$B2="CRITICAL"</formula>
    </cfRule>
    <cfRule type="expression" priority="2" dxfId="1">
      <formula>$B2="WARNING"</formula>
    </cfRule>
    <cfRule type="expression" priority="3" dxfId="4">
      <formula>$B2="INFO"</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5"/>
  <sheetViews>
    <sheetView showGridLines="1" workbookViewId="0">
      <pane ySplit="1" topLeftCell="A2" activePane="bottomLeft" state="frozen"/>
      <selection pane="bottomLeft" activeCell="A1" sqref="A1"/>
    </sheetView>
  </sheetViews>
  <sheetFormatPr baseColWidth="8" defaultRowHeight="15"/>
  <cols>
    <col width="28" customWidth="1" min="1" max="1"/>
    <col width="13" customWidth="1" min="2" max="2"/>
    <col width="32" customWidth="1" min="3" max="3"/>
    <col width="8" customWidth="1" min="4" max="4"/>
    <col width="50" customWidth="1" min="5" max="5"/>
    <col width="16" customWidth="1" min="6" max="6"/>
  </cols>
  <sheetData>
    <row r="1" ht="30" customHeight="1">
      <c r="A1" s="8" t="inlineStr">
        <is>
          <t>Application</t>
        </is>
      </c>
      <c r="B1" s="8" t="inlineStr">
        <is>
          <t>Dimension</t>
        </is>
      </c>
      <c r="C1" s="8" t="inlineStr">
        <is>
          <t>Rule</t>
        </is>
      </c>
      <c r="D1" s="8" t="inlineStr">
        <is>
          <t>Points</t>
        </is>
      </c>
      <c r="E1" s="8" t="inlineStr">
        <is>
          <t>Reason</t>
        </is>
      </c>
      <c r="F1" s="8" t="inlineStr">
        <is>
          <t>Rules version</t>
        </is>
      </c>
    </row>
    <row r="2">
      <c r="A2" s="9" t="inlineStr">
        <is>
          <t>Employee Portal</t>
        </is>
      </c>
      <c r="B2" s="9" t="inlineStr">
        <is>
          <t>COMPLEXITY</t>
        </is>
      </c>
      <c r="C2" s="9" t="inlineStr">
        <is>
          <t>OIDC_ACCESS_CONTROL_REQUIRED</t>
        </is>
      </c>
      <c r="D2" s="9" t="n">
        <v>1</v>
      </c>
      <c r="E2" s="10" t="inlineStr">
        <is>
          <t>1 occurrence(s) x 1</t>
        </is>
      </c>
      <c r="F2" s="9" t="inlineStr">
        <is>
          <t>2026.09-pf-2</t>
        </is>
      </c>
    </row>
    <row r="3">
      <c r="A3" s="9" t="inlineStr">
        <is>
          <t>Employee Portal</t>
        </is>
      </c>
      <c r="B3" s="9" t="inlineStr">
        <is>
          <t>COMPLEXITY</t>
        </is>
      </c>
      <c r="C3" s="9" t="inlineStr">
        <is>
          <t>OIDC_NEW_CLIENT_SECRET</t>
        </is>
      </c>
      <c r="D3" s="9" t="n">
        <v>2</v>
      </c>
      <c r="E3" s="10" t="inlineStr">
        <is>
          <t>1 occurrence(s) x 2</t>
        </is>
      </c>
      <c r="F3" s="9" t="inlineStr">
        <is>
          <t>2026.09-pf-2</t>
        </is>
      </c>
    </row>
    <row r="4">
      <c r="A4" s="9" t="inlineStr">
        <is>
          <t>Employee Portal</t>
        </is>
      </c>
      <c r="B4" s="9" t="inlineStr">
        <is>
          <t>COMPLEXITY</t>
        </is>
      </c>
      <c r="C4" s="9" t="inlineStr">
        <is>
          <t>OIDC_REFRESH_TOKENS</t>
        </is>
      </c>
      <c r="D4" s="9" t="n">
        <v>1</v>
      </c>
      <c r="E4" s="10" t="inlineStr">
        <is>
          <t>1 occurrence(s) x 1</t>
        </is>
      </c>
      <c r="F4" s="9" t="inlineStr">
        <is>
          <t>2026.09-pf-2</t>
        </is>
      </c>
    </row>
    <row r="5">
      <c r="A5" s="9" t="inlineStr">
        <is>
          <t>Employee Portal</t>
        </is>
      </c>
      <c r="B5" s="9" t="inlineStr">
        <is>
          <t>COMPLEXITY</t>
        </is>
      </c>
      <c r="C5" s="9" t="inlineStr">
        <is>
          <t>OIDC_SCOPES_CLAIMS_NOT_ANALYSED</t>
        </is>
      </c>
      <c r="D5" s="9" t="n">
        <v>2</v>
      </c>
      <c r="E5" s="10" t="inlineStr">
        <is>
          <t>1 occurrence(s) x 2</t>
        </is>
      </c>
      <c r="F5" s="9" t="inlineStr">
        <is>
          <t>2026.09-pf-2</t>
        </is>
      </c>
    </row>
    <row r="6">
      <c r="A6" s="9" t="inlineStr">
        <is>
          <t>Employee Portal</t>
        </is>
      </c>
      <c r="B6" s="9" t="inlineStr">
        <is>
          <t>IMPACT</t>
        </is>
      </c>
      <c r="C6" s="9" t="inlineStr">
        <is>
          <t>ACTIVE_USERS</t>
        </is>
      </c>
      <c r="D6" s="9" t="n">
        <v>1</v>
      </c>
      <c r="E6" s="10" t="inlineStr">
        <is>
          <t>24 active users in 90 days (25 assigned)</t>
        </is>
      </c>
      <c r="F6" s="9" t="inlineStr">
        <is>
          <t>2026.09-pf-2</t>
        </is>
      </c>
    </row>
    <row r="7">
      <c r="A7" s="9" t="inlineStr">
        <is>
          <t>Employee Portal</t>
        </is>
      </c>
      <c r="B7" s="9" t="inlineStr">
        <is>
          <t>IMPACT</t>
        </is>
      </c>
      <c r="C7" s="9" t="inlineStr">
        <is>
          <t>BUSINESS_CRITICALITY</t>
        </is>
      </c>
      <c r="D7" s="9" t="n">
        <v>2</v>
      </c>
      <c r="E7" s="10" t="inlineStr">
        <is>
          <t>Criticality not captured (assumed MEDIUM)</t>
        </is>
      </c>
      <c r="F7" s="9" t="inlineStr">
        <is>
          <t>2026.09-pf-2</t>
        </is>
      </c>
    </row>
    <row r="8">
      <c r="A8" s="9" t="inlineStr">
        <is>
          <t>Employee Portal</t>
        </is>
      </c>
      <c r="B8" s="9" t="inlineStr">
        <is>
          <t>IMPACT</t>
        </is>
      </c>
      <c r="C8" s="9" t="inlineStr">
        <is>
          <t>TEST_ENVIRONMENT</t>
        </is>
      </c>
      <c r="D8" s="9" t="n">
        <v>2</v>
      </c>
      <c r="E8" s="10" t="inlineStr">
        <is>
          <t>Test environment not captured</t>
        </is>
      </c>
      <c r="F8" s="9" t="inlineStr">
        <is>
          <t>2026.09-pf-2</t>
        </is>
      </c>
    </row>
    <row r="9">
      <c r="A9" s="9" t="inlineStr">
        <is>
          <t>Engineering Wiki (Confluence DC)</t>
        </is>
      </c>
      <c r="B9" s="9" t="inlineStr">
        <is>
          <t>COMPLEXITY</t>
        </is>
      </c>
      <c r="C9" s="9" t="inlineStr">
        <is>
          <t>ASSIGNMENT_PROFILE_ATTRIBUTES</t>
        </is>
      </c>
      <c r="D9" s="9" t="n">
        <v>2</v>
      </c>
      <c r="E9" s="10" t="inlineStr">
        <is>
          <t>1 occurrence(s) x 2</t>
        </is>
      </c>
      <c r="F9" s="9" t="inlineStr">
        <is>
          <t>2026.09-pf-2</t>
        </is>
      </c>
    </row>
    <row r="10">
      <c r="A10" s="9" t="inlineStr">
        <is>
          <t>Engineering Wiki (Confluence DC)</t>
        </is>
      </c>
      <c r="B10" s="9" t="inlineStr">
        <is>
          <t>COMPLEXITY</t>
        </is>
      </c>
      <c r="C10" s="9" t="inlineStr">
        <is>
          <t>CLAIM_NEEDS_OGNL</t>
        </is>
      </c>
      <c r="D10" s="9" t="n">
        <v>6</v>
      </c>
      <c r="E10" s="10" t="inlineStr">
        <is>
          <t>2 occurrence(s) x 3</t>
        </is>
      </c>
      <c r="F10" s="9" t="inlineStr">
        <is>
          <t>2026.09-pf-2</t>
        </is>
      </c>
    </row>
    <row r="11">
      <c r="A11" s="9" t="inlineStr">
        <is>
          <t>Engineering Wiki (Confluence DC)</t>
        </is>
      </c>
      <c r="B11" s="9" t="inlineStr">
        <is>
          <t>COMPLEXITY</t>
        </is>
      </c>
      <c r="C11" s="9" t="inlineStr">
        <is>
          <t>CUSTOM_IDP_ISSUER</t>
        </is>
      </c>
      <c r="D11" s="9" t="n">
        <v>2</v>
      </c>
      <c r="E11" s="10" t="inlineStr">
        <is>
          <t>1 occurrence(s) x 2</t>
        </is>
      </c>
      <c r="F11" s="9" t="inlineStr">
        <is>
          <t>2026.09-pf-2</t>
        </is>
      </c>
    </row>
    <row r="12">
      <c r="A12" s="9" t="inlineStr">
        <is>
          <t>Engineering Wiki (Confluence DC)</t>
        </is>
      </c>
      <c r="B12" s="9" t="inlineStr">
        <is>
          <t>COMPLEXITY</t>
        </is>
      </c>
      <c r="C12" s="9" t="inlineStr">
        <is>
          <t>GROUP_CLAIM</t>
        </is>
      </c>
      <c r="D12" s="9" t="n">
        <v>3</v>
      </c>
      <c r="E12" s="10" t="inlineStr">
        <is>
          <t>1 occurrence(s) x 3</t>
        </is>
      </c>
      <c r="F12" s="9" t="inlineStr">
        <is>
          <t>2026.09-pf-2</t>
        </is>
      </c>
    </row>
    <row r="13">
      <c r="A13" s="9" t="inlineStr">
        <is>
          <t>Engineering Wiki (Confluence DC)</t>
        </is>
      </c>
      <c r="B13" s="9" t="inlineStr">
        <is>
          <t>COMPLEXITY</t>
        </is>
      </c>
      <c r="C13" s="9" t="inlineStr">
        <is>
          <t>GROUP_CLAIM_OKTA_NATIVE_GROUPS</t>
        </is>
      </c>
      <c r="D13" s="9" t="n">
        <v>2</v>
      </c>
      <c r="E13" s="10" t="inlineStr">
        <is>
          <t>1 occurrence(s) x 2</t>
        </is>
      </c>
      <c r="F13" s="9" t="inlineStr">
        <is>
          <t>2026.09-pf-2</t>
        </is>
      </c>
    </row>
    <row r="14">
      <c r="A14" s="9" t="inlineStr">
        <is>
          <t>Engineering Wiki (Confluence DC)</t>
        </is>
      </c>
      <c r="B14" s="9" t="inlineStr">
        <is>
          <t>COMPLEXITY</t>
        </is>
      </c>
      <c r="C14" s="9" t="inlineStr">
        <is>
          <t>ISSUANCE_CRITERIA_REQUIRED</t>
        </is>
      </c>
      <c r="D14" s="9" t="n">
        <v>1</v>
      </c>
      <c r="E14" s="10" t="inlineStr">
        <is>
          <t>1 occurrence(s) x 1</t>
        </is>
      </c>
      <c r="F14" s="9" t="inlineStr">
        <is>
          <t>2026.09-pf-2</t>
        </is>
      </c>
    </row>
    <row r="15">
      <c r="A15" s="9" t="inlineStr">
        <is>
          <t>Engineering Wiki (Confluence DC)</t>
        </is>
      </c>
      <c r="B15" s="9" t="inlineStr">
        <is>
          <t>COMPLEXITY</t>
        </is>
      </c>
      <c r="C15" s="9" t="inlineStr">
        <is>
          <t>MULTIPLE_ACS</t>
        </is>
      </c>
      <c r="D15" s="9" t="n">
        <v>2</v>
      </c>
      <c r="E15" s="10" t="inlineStr">
        <is>
          <t>1 occurrence(s) x 2</t>
        </is>
      </c>
      <c r="F15" s="9" t="inlineStr">
        <is>
          <t>2026.09-pf-2</t>
        </is>
      </c>
    </row>
    <row r="16">
      <c r="A16" s="9" t="inlineStr">
        <is>
          <t>Engineering Wiki (Confluence DC)</t>
        </is>
      </c>
      <c r="B16" s="9" t="inlineStr">
        <is>
          <t>COMPLEXITY</t>
        </is>
      </c>
      <c r="C16" s="9" t="inlineStr">
        <is>
          <t>SIGNED_AUTHN_REQUESTS</t>
        </is>
      </c>
      <c r="D16" s="9" t="n">
        <v>1</v>
      </c>
      <c r="E16" s="10" t="inlineStr">
        <is>
          <t>1 occurrence(s) x 1</t>
        </is>
      </c>
      <c r="F16" s="9" t="inlineStr">
        <is>
          <t>2026.09-pf-2</t>
        </is>
      </c>
    </row>
    <row r="17">
      <c r="A17" s="9" t="inlineStr">
        <is>
          <t>Engineering Wiki (Confluence DC)</t>
        </is>
      </c>
      <c r="B17" s="9" t="inlineStr">
        <is>
          <t>COMPLEXITY</t>
        </is>
      </c>
      <c r="C17" s="9" t="inlineStr">
        <is>
          <t>SLO_ENABLED</t>
        </is>
      </c>
      <c r="D17" s="9" t="n">
        <v>1</v>
      </c>
      <c r="E17" s="10" t="inlineStr">
        <is>
          <t>1 occurrence(s) x 1</t>
        </is>
      </c>
      <c r="F17" s="9" t="inlineStr">
        <is>
          <t>2026.09-pf-2</t>
        </is>
      </c>
    </row>
    <row r="18">
      <c r="A18" s="9" t="inlineStr">
        <is>
          <t>Engineering Wiki (Confluence DC)</t>
        </is>
      </c>
      <c r="B18" s="9" t="inlineStr">
        <is>
          <t>IMPACT</t>
        </is>
      </c>
      <c r="C18" s="9" t="inlineStr">
        <is>
          <t>ACTIVE_USERS</t>
        </is>
      </c>
      <c r="D18" s="9" t="n">
        <v>1</v>
      </c>
      <c r="E18" s="10" t="inlineStr">
        <is>
          <t>9 active users in 90 days (10 assigned)</t>
        </is>
      </c>
      <c r="F18" s="9" t="inlineStr">
        <is>
          <t>2026.09-pf-2</t>
        </is>
      </c>
    </row>
    <row r="19">
      <c r="A19" s="9" t="inlineStr">
        <is>
          <t>Engineering Wiki (Confluence DC)</t>
        </is>
      </c>
      <c r="B19" s="9" t="inlineStr">
        <is>
          <t>IMPACT</t>
        </is>
      </c>
      <c r="C19" s="9" t="inlineStr">
        <is>
          <t>BUSINESS_CRITICALITY</t>
        </is>
      </c>
      <c r="D19" s="9" t="n">
        <v>2</v>
      </c>
      <c r="E19" s="10" t="inlineStr">
        <is>
          <t>Criticality not captured (assumed MEDIUM)</t>
        </is>
      </c>
      <c r="F19" s="9" t="inlineStr">
        <is>
          <t>2026.09-pf-2</t>
        </is>
      </c>
    </row>
    <row r="20">
      <c r="A20" s="9" t="inlineStr">
        <is>
          <t>Engineering Wiki (Confluence DC)</t>
        </is>
      </c>
      <c r="B20" s="9" t="inlineStr">
        <is>
          <t>IMPACT</t>
        </is>
      </c>
      <c r="C20" s="9" t="inlineStr">
        <is>
          <t>TEST_ENVIRONMENT</t>
        </is>
      </c>
      <c r="D20" s="9" t="n">
        <v>2</v>
      </c>
      <c r="E20" s="10" t="inlineStr">
        <is>
          <t>Test environment not captured</t>
        </is>
      </c>
      <c r="F20" s="9" t="inlineStr">
        <is>
          <t>2026.09-pf-2</t>
        </is>
      </c>
    </row>
    <row r="21">
      <c r="A21" s="9" t="inlineStr">
        <is>
          <t>Expense Portal</t>
        </is>
      </c>
      <c r="B21" s="9" t="inlineStr">
        <is>
          <t>COMPLEXITY</t>
        </is>
      </c>
      <c r="C21" s="9" t="inlineStr">
        <is>
          <t>DUPLICATE_SP_ENTITY_ID</t>
        </is>
      </c>
      <c r="D21" s="9" t="n">
        <v>3</v>
      </c>
      <c r="E21" s="10" t="inlineStr">
        <is>
          <t>1 occurrence(s) x 3</t>
        </is>
      </c>
      <c r="F21" s="9" t="inlineStr">
        <is>
          <t>2026.09-pf-2</t>
        </is>
      </c>
    </row>
    <row r="22">
      <c r="A22" s="9" t="inlineStr">
        <is>
          <t>Expense Portal</t>
        </is>
      </c>
      <c r="B22" s="9" t="inlineStr">
        <is>
          <t>COMPLEXITY</t>
        </is>
      </c>
      <c r="C22" s="9" t="inlineStr">
        <is>
          <t>ISSUANCE_CRITERIA_REQUIRED</t>
        </is>
      </c>
      <c r="D22" s="9" t="n">
        <v>1</v>
      </c>
      <c r="E22" s="10" t="inlineStr">
        <is>
          <t>1 occurrence(s) x 1</t>
        </is>
      </c>
      <c r="F22" s="9" t="inlineStr">
        <is>
          <t>2026.09-pf-2</t>
        </is>
      </c>
    </row>
    <row r="23">
      <c r="A23" s="9" t="inlineStr">
        <is>
          <t>Expense Portal</t>
        </is>
      </c>
      <c r="B23" s="9" t="inlineStr">
        <is>
          <t>IMPACT</t>
        </is>
      </c>
      <c r="C23" s="9" t="inlineStr">
        <is>
          <t>ACTIVE_USERS</t>
        </is>
      </c>
      <c r="D23" s="9" t="n">
        <v>1</v>
      </c>
      <c r="E23" s="10" t="inlineStr">
        <is>
          <t>22 active users in 90 days (25 assigned)</t>
        </is>
      </c>
      <c r="F23" s="9" t="inlineStr">
        <is>
          <t>2026.09-pf-2</t>
        </is>
      </c>
    </row>
    <row r="24">
      <c r="A24" s="9" t="inlineStr">
        <is>
          <t>Expense Portal</t>
        </is>
      </c>
      <c r="B24" s="9" t="inlineStr">
        <is>
          <t>IMPACT</t>
        </is>
      </c>
      <c r="C24" s="9" t="inlineStr">
        <is>
          <t>BUSINESS_CRITICALITY</t>
        </is>
      </c>
      <c r="D24" s="9" t="n">
        <v>2</v>
      </c>
      <c r="E24" s="10" t="inlineStr">
        <is>
          <t>Criticality not captured (assumed MEDIUM)</t>
        </is>
      </c>
      <c r="F24" s="9" t="inlineStr">
        <is>
          <t>2026.09-pf-2</t>
        </is>
      </c>
    </row>
    <row r="25">
      <c r="A25" s="9" t="inlineStr">
        <is>
          <t>Expense Portal</t>
        </is>
      </c>
      <c r="B25" s="9" t="inlineStr">
        <is>
          <t>IMPACT</t>
        </is>
      </c>
      <c r="C25" s="9" t="inlineStr">
        <is>
          <t>TEST_ENVIRONMENT</t>
        </is>
      </c>
      <c r="D25" s="9" t="n">
        <v>2</v>
      </c>
      <c r="E25" s="10" t="inlineStr">
        <is>
          <t>Test environment not captured</t>
        </is>
      </c>
      <c r="F25" s="9" t="inlineStr">
        <is>
          <t>2026.09-pf-2</t>
        </is>
      </c>
    </row>
    <row r="26">
      <c r="A26" s="9" t="inlineStr">
        <is>
          <t>Expense Portal (UAT)</t>
        </is>
      </c>
      <c r="B26" s="9" t="inlineStr">
        <is>
          <t>COMPLEXITY</t>
        </is>
      </c>
      <c r="C26" s="9" t="inlineStr">
        <is>
          <t>DUPLICATE_SP_ENTITY_ID</t>
        </is>
      </c>
      <c r="D26" s="9" t="n">
        <v>3</v>
      </c>
      <c r="E26" s="10" t="inlineStr">
        <is>
          <t>1 occurrence(s) x 3</t>
        </is>
      </c>
      <c r="F26" s="9" t="inlineStr">
        <is>
          <t>2026.09-pf-2</t>
        </is>
      </c>
    </row>
    <row r="27">
      <c r="A27" s="9" t="inlineStr">
        <is>
          <t>Expense Portal (UAT)</t>
        </is>
      </c>
      <c r="B27" s="9" t="inlineStr">
        <is>
          <t>COMPLEXITY</t>
        </is>
      </c>
      <c r="C27" s="9" t="inlineStr">
        <is>
          <t>ISSUANCE_CRITERIA_REQUIRED</t>
        </is>
      </c>
      <c r="D27" s="9" t="n">
        <v>1</v>
      </c>
      <c r="E27" s="10" t="inlineStr">
        <is>
          <t>1 occurrence(s) x 1</t>
        </is>
      </c>
      <c r="F27" s="9" t="inlineStr">
        <is>
          <t>2026.09-pf-2</t>
        </is>
      </c>
    </row>
    <row r="28">
      <c r="A28" s="9" t="inlineStr">
        <is>
          <t>Expense Portal (UAT)</t>
        </is>
      </c>
      <c r="B28" s="9" t="inlineStr">
        <is>
          <t>COMPLEXITY</t>
        </is>
      </c>
      <c r="C28" s="9" t="inlineStr">
        <is>
          <t>OKTA_NATIVE_GROUPS_ASSIGNED</t>
        </is>
      </c>
      <c r="D28" s="9" t="n">
        <v>2</v>
      </c>
      <c r="E28" s="10" t="inlineStr">
        <is>
          <t>1 occurrence(s) x 2</t>
        </is>
      </c>
      <c r="F28" s="9" t="inlineStr">
        <is>
          <t>2026.09-pf-2</t>
        </is>
      </c>
    </row>
    <row r="29">
      <c r="A29" s="9" t="inlineStr">
        <is>
          <t>Expense Portal (UAT)</t>
        </is>
      </c>
      <c r="B29" s="9" t="inlineStr">
        <is>
          <t>IMPACT</t>
        </is>
      </c>
      <c r="C29" s="9" t="inlineStr">
        <is>
          <t>ACTIVE_USERS</t>
        </is>
      </c>
      <c r="D29" s="9" t="n">
        <v>0</v>
      </c>
      <c r="E29" s="10" t="inlineStr">
        <is>
          <t>0 active users in 90 days (5 assigned)</t>
        </is>
      </c>
      <c r="F29" s="9" t="inlineStr">
        <is>
          <t>2026.09-pf-2</t>
        </is>
      </c>
    </row>
    <row r="30">
      <c r="A30" s="9" t="inlineStr">
        <is>
          <t>Expense Portal (UAT)</t>
        </is>
      </c>
      <c r="B30" s="9" t="inlineStr">
        <is>
          <t>IMPACT</t>
        </is>
      </c>
      <c r="C30" s="9" t="inlineStr">
        <is>
          <t>BUSINESS_CRITICALITY</t>
        </is>
      </c>
      <c r="D30" s="9" t="n">
        <v>2</v>
      </c>
      <c r="E30" s="10" t="inlineStr">
        <is>
          <t>Criticality not captured (assumed MEDIUM)</t>
        </is>
      </c>
      <c r="F30" s="9" t="inlineStr">
        <is>
          <t>2026.09-pf-2</t>
        </is>
      </c>
    </row>
    <row r="31">
      <c r="A31" s="9" t="inlineStr">
        <is>
          <t>Expense Portal (UAT)</t>
        </is>
      </c>
      <c r="B31" s="9" t="inlineStr">
        <is>
          <t>IMPACT</t>
        </is>
      </c>
      <c r="C31" s="9" t="inlineStr">
        <is>
          <t>TEST_ENVIRONMENT</t>
        </is>
      </c>
      <c r="D31" s="9" t="n">
        <v>2</v>
      </c>
      <c r="E31" s="10" t="inlineStr">
        <is>
          <t>Test environment not captured</t>
        </is>
      </c>
      <c r="F31" s="9" t="inlineStr">
        <is>
          <t>2026.09-pf-2</t>
        </is>
      </c>
    </row>
    <row r="32">
      <c r="A32" s="9" t="inlineStr">
        <is>
          <t>HR Analytics (Tableau)</t>
        </is>
      </c>
      <c r="B32" s="9" t="inlineStr">
        <is>
          <t>COMPLEXITY</t>
        </is>
      </c>
      <c r="C32" s="9" t="inlineStr">
        <is>
          <t>APPUSER_ATTRIBUTE_CLAIM</t>
        </is>
      </c>
      <c r="D32" s="9" t="n">
        <v>3</v>
      </c>
      <c r="E32" s="10" t="inlineStr">
        <is>
          <t>1 occurrence(s) x 3</t>
        </is>
      </c>
      <c r="F32" s="9" t="inlineStr">
        <is>
          <t>2026.09-pf-2</t>
        </is>
      </c>
    </row>
    <row r="33">
      <c r="A33" s="9" t="inlineStr">
        <is>
          <t>HR Analytics (Tableau)</t>
        </is>
      </c>
      <c r="B33" s="9" t="inlineStr">
        <is>
          <t>COMPLEXITY</t>
        </is>
      </c>
      <c r="C33" s="9" t="inlineStr">
        <is>
          <t>ASSIGNMENT_PROFILE_ATTRIBUTES</t>
        </is>
      </c>
      <c r="D33" s="9" t="n">
        <v>2</v>
      </c>
      <c r="E33" s="10" t="inlineStr">
        <is>
          <t>1 occurrence(s) x 2</t>
        </is>
      </c>
      <c r="F33" s="9" t="inlineStr">
        <is>
          <t>2026.09-pf-2</t>
        </is>
      </c>
    </row>
    <row r="34">
      <c r="A34" s="9" t="inlineStr">
        <is>
          <t>HR Analytics (Tableau)</t>
        </is>
      </c>
      <c r="B34" s="9" t="inlineStr">
        <is>
          <t>COMPLEXITY</t>
        </is>
      </c>
      <c r="C34" s="9" t="inlineStr">
        <is>
          <t>CLAIM_NEEDS_OGNL</t>
        </is>
      </c>
      <c r="D34" s="9" t="n">
        <v>6</v>
      </c>
      <c r="E34" s="10" t="inlineStr">
        <is>
          <t>2 occurrence(s) x 3</t>
        </is>
      </c>
      <c r="F34" s="9" t="inlineStr">
        <is>
          <t>2026.09-pf-2</t>
        </is>
      </c>
    </row>
    <row r="35">
      <c r="A35" s="9" t="inlineStr">
        <is>
          <t>HR Analytics (Tableau)</t>
        </is>
      </c>
      <c r="B35" s="9" t="inlineStr">
        <is>
          <t>COMPLEXITY</t>
        </is>
      </c>
      <c r="C35" s="9" t="inlineStr">
        <is>
          <t>DIRECT_USER_ASSIGNMENTS</t>
        </is>
      </c>
      <c r="D35" s="9" t="n">
        <v>1</v>
      </c>
      <c r="E35" s="10" t="inlineStr">
        <is>
          <t>1 occurrence(s) x 1</t>
        </is>
      </c>
      <c r="F35" s="9" t="inlineStr">
        <is>
          <t>2026.09-pf-2</t>
        </is>
      </c>
    </row>
    <row r="36">
      <c r="A36" s="9" t="inlineStr">
        <is>
          <t>HR Analytics (Tableau)</t>
        </is>
      </c>
      <c r="B36" s="9" t="inlineStr">
        <is>
          <t>COMPLEXITY</t>
        </is>
      </c>
      <c r="C36" s="9" t="inlineStr">
        <is>
          <t>ISSUANCE_CRITERIA_REQUIRED</t>
        </is>
      </c>
      <c r="D36" s="9" t="n">
        <v>1</v>
      </c>
      <c r="E36" s="10" t="inlineStr">
        <is>
          <t>1 occurrence(s) x 1</t>
        </is>
      </c>
      <c r="F36" s="9" t="inlineStr">
        <is>
          <t>2026.09-pf-2</t>
        </is>
      </c>
    </row>
    <row r="37">
      <c r="A37" s="9" t="inlineStr">
        <is>
          <t>HR Analytics (Tableau)</t>
        </is>
      </c>
      <c r="B37" s="9" t="inlineStr">
        <is>
          <t>COMPLEXITY</t>
        </is>
      </c>
      <c r="C37" s="9" t="inlineStr">
        <is>
          <t>OKTA_NATIVE_GROUPS_ASSIGNED</t>
        </is>
      </c>
      <c r="D37" s="9" t="n">
        <v>2</v>
      </c>
      <c r="E37" s="10" t="inlineStr">
        <is>
          <t>1 occurrence(s) x 2</t>
        </is>
      </c>
      <c r="F37" s="9" t="inlineStr">
        <is>
          <t>2026.09-pf-2</t>
        </is>
      </c>
    </row>
    <row r="38">
      <c r="A38" s="9" t="inlineStr">
        <is>
          <t>HR Analytics (Tableau)</t>
        </is>
      </c>
      <c r="B38" s="9" t="inlineStr">
        <is>
          <t>IMPACT</t>
        </is>
      </c>
      <c r="C38" s="9" t="inlineStr">
        <is>
          <t>ACTIVE_USERS</t>
        </is>
      </c>
      <c r="D38" s="9" t="n">
        <v>1</v>
      </c>
      <c r="E38" s="10" t="inlineStr">
        <is>
          <t>4 active users in 90 days (5 assigned)</t>
        </is>
      </c>
      <c r="F38" s="9" t="inlineStr">
        <is>
          <t>2026.09-pf-2</t>
        </is>
      </c>
    </row>
    <row r="39">
      <c r="A39" s="9" t="inlineStr">
        <is>
          <t>HR Analytics (Tableau)</t>
        </is>
      </c>
      <c r="B39" s="9" t="inlineStr">
        <is>
          <t>IMPACT</t>
        </is>
      </c>
      <c r="C39" s="9" t="inlineStr">
        <is>
          <t>BUSINESS_CRITICALITY</t>
        </is>
      </c>
      <c r="D39" s="9" t="n">
        <v>2</v>
      </c>
      <c r="E39" s="10" t="inlineStr">
        <is>
          <t>Criticality not captured (assumed MEDIUM)</t>
        </is>
      </c>
      <c r="F39" s="9" t="inlineStr">
        <is>
          <t>2026.09-pf-2</t>
        </is>
      </c>
    </row>
    <row r="40">
      <c r="A40" s="9" t="inlineStr">
        <is>
          <t>HR Analytics (Tableau)</t>
        </is>
      </c>
      <c r="B40" s="9" t="inlineStr">
        <is>
          <t>IMPACT</t>
        </is>
      </c>
      <c r="C40" s="9" t="inlineStr">
        <is>
          <t>TEST_ENVIRONMENT</t>
        </is>
      </c>
      <c r="D40" s="9" t="n">
        <v>2</v>
      </c>
      <c r="E40" s="10" t="inlineStr">
        <is>
          <t>Test environment not captured</t>
        </is>
      </c>
      <c r="F40" s="9" t="inlineStr">
        <is>
          <t>2026.09-pf-2</t>
        </is>
      </c>
    </row>
    <row r="41">
      <c r="A41" s="9" t="inlineStr">
        <is>
          <t>Legacy Intranet SPA</t>
        </is>
      </c>
      <c r="B41" s="9" t="inlineStr">
        <is>
          <t>COMPLEXITY</t>
        </is>
      </c>
      <c r="C41" s="9" t="inlineStr">
        <is>
          <t>DIRECT_USER_ASSIGNMENTS</t>
        </is>
      </c>
      <c r="D41" s="9" t="n">
        <v>1</v>
      </c>
      <c r="E41" s="10" t="inlineStr">
        <is>
          <t>1 occurrence(s) x 1</t>
        </is>
      </c>
      <c r="F41" s="9" t="inlineStr">
        <is>
          <t>2026.09-pf-2</t>
        </is>
      </c>
    </row>
    <row r="42">
      <c r="A42" s="9" t="inlineStr">
        <is>
          <t>Legacy Intranet SPA</t>
        </is>
      </c>
      <c r="B42" s="9" t="inlineStr">
        <is>
          <t>COMPLEXITY</t>
        </is>
      </c>
      <c r="C42" s="9" t="inlineStr">
        <is>
          <t>OIDC_ACCESS_CONTROL_REQUIRED</t>
        </is>
      </c>
      <c r="D42" s="9" t="n">
        <v>1</v>
      </c>
      <c r="E42" s="10" t="inlineStr">
        <is>
          <t>1 occurrence(s) x 1</t>
        </is>
      </c>
      <c r="F42" s="9" t="inlineStr">
        <is>
          <t>2026.09-pf-2</t>
        </is>
      </c>
    </row>
    <row r="43">
      <c r="A43" s="9" t="inlineStr">
        <is>
          <t>Legacy Intranet SPA</t>
        </is>
      </c>
      <c r="B43" s="9" t="inlineStr">
        <is>
          <t>COMPLEXITY</t>
        </is>
      </c>
      <c r="C43" s="9" t="inlineStr">
        <is>
          <t>OIDC_IMPLICIT_GRANT</t>
        </is>
      </c>
      <c r="D43" s="9" t="n">
        <v>3</v>
      </c>
      <c r="E43" s="10" t="inlineStr">
        <is>
          <t>1 occurrence(s) x 3</t>
        </is>
      </c>
      <c r="F43" s="9" t="inlineStr">
        <is>
          <t>2026.09-pf-2</t>
        </is>
      </c>
    </row>
    <row r="44">
      <c r="A44" s="9" t="inlineStr">
        <is>
          <t>Legacy Intranet SPA</t>
        </is>
      </c>
      <c r="B44" s="9" t="inlineStr">
        <is>
          <t>COMPLEXITY</t>
        </is>
      </c>
      <c r="C44" s="9" t="inlineStr">
        <is>
          <t>OIDC_SCOPES_CLAIMS_NOT_ANALYSED</t>
        </is>
      </c>
      <c r="D44" s="9" t="n">
        <v>2</v>
      </c>
      <c r="E44" s="10" t="inlineStr">
        <is>
          <t>1 occurrence(s) x 2</t>
        </is>
      </c>
      <c r="F44" s="9" t="inlineStr">
        <is>
          <t>2026.09-pf-2</t>
        </is>
      </c>
    </row>
    <row r="45">
      <c r="A45" s="9" t="inlineStr">
        <is>
          <t>Legacy Intranet SPA</t>
        </is>
      </c>
      <c r="B45" s="9" t="inlineStr">
        <is>
          <t>COMPLEXITY</t>
        </is>
      </c>
      <c r="C45" s="9" t="inlineStr">
        <is>
          <t>OIDC_WILDCARD_REDIRECT</t>
        </is>
      </c>
      <c r="D45" s="9" t="n">
        <v>2</v>
      </c>
      <c r="E45" s="10" t="inlineStr">
        <is>
          <t>1 occurrence(s) x 2</t>
        </is>
      </c>
      <c r="F45" s="9" t="inlineStr">
        <is>
          <t>2026.09-pf-2</t>
        </is>
      </c>
    </row>
    <row r="46">
      <c r="A46" s="9" t="inlineStr">
        <is>
          <t>Legacy Intranet SPA</t>
        </is>
      </c>
      <c r="B46" s="9" t="inlineStr">
        <is>
          <t>COMPLEXITY</t>
        </is>
      </c>
      <c r="C46" s="9" t="inlineStr">
        <is>
          <t>OKTA_NATIVE_GROUPS_ASSIGNED</t>
        </is>
      </c>
      <c r="D46" s="9" t="n">
        <v>2</v>
      </c>
      <c r="E46" s="10" t="inlineStr">
        <is>
          <t>1 occurrence(s) x 2</t>
        </is>
      </c>
      <c r="F46" s="9" t="inlineStr">
        <is>
          <t>2026.09-pf-2</t>
        </is>
      </c>
    </row>
    <row r="47">
      <c r="A47" s="9" t="inlineStr">
        <is>
          <t>Legacy Intranet SPA</t>
        </is>
      </c>
      <c r="B47" s="9" t="inlineStr">
        <is>
          <t>IMPACT</t>
        </is>
      </c>
      <c r="C47" s="9" t="inlineStr">
        <is>
          <t>ACTIVE_USERS</t>
        </is>
      </c>
      <c r="D47" s="9" t="n">
        <v>0</v>
      </c>
      <c r="E47" s="10" t="inlineStr">
        <is>
          <t>0 active users in 90 days (9 assigned)</t>
        </is>
      </c>
      <c r="F47" s="9" t="inlineStr">
        <is>
          <t>2026.09-pf-2</t>
        </is>
      </c>
    </row>
    <row r="48">
      <c r="A48" s="9" t="inlineStr">
        <is>
          <t>Legacy Intranet SPA</t>
        </is>
      </c>
      <c r="B48" s="9" t="inlineStr">
        <is>
          <t>IMPACT</t>
        </is>
      </c>
      <c r="C48" s="9" t="inlineStr">
        <is>
          <t>BUSINESS_CRITICALITY</t>
        </is>
      </c>
      <c r="D48" s="9" t="n">
        <v>2</v>
      </c>
      <c r="E48" s="10" t="inlineStr">
        <is>
          <t>Criticality not captured (assumed MEDIUM)</t>
        </is>
      </c>
      <c r="F48" s="9" t="inlineStr">
        <is>
          <t>2026.09-pf-2</t>
        </is>
      </c>
    </row>
    <row r="49">
      <c r="A49" s="9" t="inlineStr">
        <is>
          <t>Legacy Intranet SPA</t>
        </is>
      </c>
      <c r="B49" s="9" t="inlineStr">
        <is>
          <t>IMPACT</t>
        </is>
      </c>
      <c r="C49" s="9" t="inlineStr">
        <is>
          <t>TEST_ENVIRONMENT</t>
        </is>
      </c>
      <c r="D49" s="9" t="n">
        <v>2</v>
      </c>
      <c r="E49" s="10" t="inlineStr">
        <is>
          <t>Test environment not captured</t>
        </is>
      </c>
      <c r="F49" s="9" t="inlineStr">
        <is>
          <t>2026.09-pf-2</t>
        </is>
      </c>
    </row>
    <row r="50">
      <c r="A50" s="9" t="inlineStr">
        <is>
          <t>Legacy Travel Booking</t>
        </is>
      </c>
      <c r="B50" s="9" t="inlineStr">
        <is>
          <t>COMPLEXITY</t>
        </is>
      </c>
      <c r="C50" s="9" t="inlineStr">
        <is>
          <t>NAMEID_IS_OKTA_USER_ID</t>
        </is>
      </c>
      <c r="D50" s="9" t="n">
        <v>5</v>
      </c>
      <c r="E50" s="10" t="inlineStr">
        <is>
          <t>1 occurrence(s) x 5</t>
        </is>
      </c>
      <c r="F50" s="9" t="inlineStr">
        <is>
          <t>2026.09-pf-2</t>
        </is>
      </c>
    </row>
    <row r="51">
      <c r="A51" s="9" t="inlineStr">
        <is>
          <t>Legacy Travel Booking</t>
        </is>
      </c>
      <c r="B51" s="9" t="inlineStr">
        <is>
          <t>IMPACT</t>
        </is>
      </c>
      <c r="C51" s="9" t="inlineStr">
        <is>
          <t>APP_INACTIVE</t>
        </is>
      </c>
      <c r="D51" s="9" t="n">
        <v>0</v>
      </c>
      <c r="E51" s="10" t="inlineStr">
        <is>
          <t>Inactive in Okta: no live users affected</t>
        </is>
      </c>
      <c r="F51" s="9" t="inlineStr">
        <is>
          <t>2026.09-pf-2</t>
        </is>
      </c>
    </row>
    <row r="52">
      <c r="A52" s="9" t="inlineStr">
        <is>
          <t>Mobile Expenses</t>
        </is>
      </c>
      <c r="B52" s="9" t="inlineStr">
        <is>
          <t>COMPLEXITY</t>
        </is>
      </c>
      <c r="C52" s="9" t="inlineStr">
        <is>
          <t>OIDC_ACCESS_CONTROL_REQUIRED</t>
        </is>
      </c>
      <c r="D52" s="9" t="n">
        <v>1</v>
      </c>
      <c r="E52" s="10" t="inlineStr">
        <is>
          <t>1 occurrence(s) x 1</t>
        </is>
      </c>
      <c r="F52" s="9" t="inlineStr">
        <is>
          <t>2026.09-pf-2</t>
        </is>
      </c>
    </row>
    <row r="53">
      <c r="A53" s="9" t="inlineStr">
        <is>
          <t>Mobile Expenses</t>
        </is>
      </c>
      <c r="B53" s="9" t="inlineStr">
        <is>
          <t>COMPLEXITY</t>
        </is>
      </c>
      <c r="C53" s="9" t="inlineStr">
        <is>
          <t>OIDC_REFRESH_TOKENS</t>
        </is>
      </c>
      <c r="D53" s="9" t="n">
        <v>1</v>
      </c>
      <c r="E53" s="10" t="inlineStr">
        <is>
          <t>1 occurrence(s) x 1</t>
        </is>
      </c>
      <c r="F53" s="9" t="inlineStr">
        <is>
          <t>2026.09-pf-2</t>
        </is>
      </c>
    </row>
    <row r="54">
      <c r="A54" s="9" t="inlineStr">
        <is>
          <t>Mobile Expenses</t>
        </is>
      </c>
      <c r="B54" s="9" t="inlineStr">
        <is>
          <t>COMPLEXITY</t>
        </is>
      </c>
      <c r="C54" s="9" t="inlineStr">
        <is>
          <t>OIDC_SCOPES_CLAIMS_NOT_ANALYSED</t>
        </is>
      </c>
      <c r="D54" s="9" t="n">
        <v>2</v>
      </c>
      <c r="E54" s="10" t="inlineStr">
        <is>
          <t>1 occurrence(s) x 2</t>
        </is>
      </c>
      <c r="F54" s="9" t="inlineStr">
        <is>
          <t>2026.09-pf-2</t>
        </is>
      </c>
    </row>
    <row r="55">
      <c r="A55" s="9" t="inlineStr">
        <is>
          <t>Mobile Expenses</t>
        </is>
      </c>
      <c r="B55" s="9" t="inlineStr">
        <is>
          <t>COMPLEXITY</t>
        </is>
      </c>
      <c r="C55" s="9" t="inlineStr">
        <is>
          <t>OKTA_NATIVE_GROUPS_ASSIGNED</t>
        </is>
      </c>
      <c r="D55" s="9" t="n">
        <v>2</v>
      </c>
      <c r="E55" s="10" t="inlineStr">
        <is>
          <t>1 occurrence(s) x 2</t>
        </is>
      </c>
      <c r="F55" s="9" t="inlineStr">
        <is>
          <t>2026.09-pf-2</t>
        </is>
      </c>
    </row>
    <row r="56">
      <c r="A56" s="9" t="inlineStr">
        <is>
          <t>Mobile Expenses</t>
        </is>
      </c>
      <c r="B56" s="9" t="inlineStr">
        <is>
          <t>IMPACT</t>
        </is>
      </c>
      <c r="C56" s="9" t="inlineStr">
        <is>
          <t>ACTIVE_USERS</t>
        </is>
      </c>
      <c r="D56" s="9" t="n">
        <v>1</v>
      </c>
      <c r="E56" s="10" t="inlineStr">
        <is>
          <t>4 active users in 90 days (5 assigned)</t>
        </is>
      </c>
      <c r="F56" s="9" t="inlineStr">
        <is>
          <t>2026.09-pf-2</t>
        </is>
      </c>
    </row>
    <row r="57">
      <c r="A57" s="9" t="inlineStr">
        <is>
          <t>Mobile Expenses</t>
        </is>
      </c>
      <c r="B57" s="9" t="inlineStr">
        <is>
          <t>IMPACT</t>
        </is>
      </c>
      <c r="C57" s="9" t="inlineStr">
        <is>
          <t>BUSINESS_CRITICALITY</t>
        </is>
      </c>
      <c r="D57" s="9" t="n">
        <v>2</v>
      </c>
      <c r="E57" s="10" t="inlineStr">
        <is>
          <t>Criticality not captured (assumed MEDIUM)</t>
        </is>
      </c>
      <c r="F57" s="9" t="inlineStr">
        <is>
          <t>2026.09-pf-2</t>
        </is>
      </c>
    </row>
    <row r="58">
      <c r="A58" s="9" t="inlineStr">
        <is>
          <t>Mobile Expenses</t>
        </is>
      </c>
      <c r="B58" s="9" t="inlineStr">
        <is>
          <t>IMPACT</t>
        </is>
      </c>
      <c r="C58" s="9" t="inlineStr">
        <is>
          <t>TEST_ENVIRONMENT</t>
        </is>
      </c>
      <c r="D58" s="9" t="n">
        <v>2</v>
      </c>
      <c r="E58" s="10" t="inlineStr">
        <is>
          <t>Test environment not captured</t>
        </is>
      </c>
      <c r="F58" s="9" t="inlineStr">
        <is>
          <t>2026.09-pf-2</t>
        </is>
      </c>
    </row>
    <row r="59">
      <c r="A59" s="9" t="inlineStr">
        <is>
          <t>Reporting API</t>
        </is>
      </c>
      <c r="B59" s="9" t="inlineStr">
        <is>
          <t>COMPLEXITY</t>
        </is>
      </c>
      <c r="C59" s="9" t="inlineStr">
        <is>
          <t>OIDC_SCOPES_CLAIMS_NOT_ANALYSED</t>
        </is>
      </c>
      <c r="D59" s="9" t="n">
        <v>2</v>
      </c>
      <c r="E59" s="10" t="inlineStr">
        <is>
          <t>1 occurrence(s) x 2</t>
        </is>
      </c>
      <c r="F59" s="9" t="inlineStr">
        <is>
          <t>2026.09-pf-2</t>
        </is>
      </c>
    </row>
    <row r="60">
      <c r="A60" s="9" t="inlineStr">
        <is>
          <t>Reporting API</t>
        </is>
      </c>
      <c r="B60" s="9" t="inlineStr">
        <is>
          <t>IMPACT</t>
        </is>
      </c>
      <c r="C60" s="9" t="inlineStr">
        <is>
          <t>ACTIVE_USERS</t>
        </is>
      </c>
      <c r="D60" s="9" t="n">
        <v>0</v>
      </c>
      <c r="E60" s="10" t="inlineStr">
        <is>
          <t>0 active users in 90 days (0 assigned)</t>
        </is>
      </c>
      <c r="F60" s="9" t="inlineStr">
        <is>
          <t>2026.09-pf-2</t>
        </is>
      </c>
    </row>
    <row r="61">
      <c r="A61" s="9" t="inlineStr">
        <is>
          <t>Reporting API</t>
        </is>
      </c>
      <c r="B61" s="9" t="inlineStr">
        <is>
          <t>IMPACT</t>
        </is>
      </c>
      <c r="C61" s="9" t="inlineStr">
        <is>
          <t>BUSINESS_CRITICALITY</t>
        </is>
      </c>
      <c r="D61" s="9" t="n">
        <v>2</v>
      </c>
      <c r="E61" s="10" t="inlineStr">
        <is>
          <t>Criticality not captured (assumed MEDIUM)</t>
        </is>
      </c>
      <c r="F61" s="9" t="inlineStr">
        <is>
          <t>2026.09-pf-2</t>
        </is>
      </c>
    </row>
    <row r="62">
      <c r="A62" s="9" t="inlineStr">
        <is>
          <t>Reporting API</t>
        </is>
      </c>
      <c r="B62" s="9" t="inlineStr">
        <is>
          <t>IMPACT</t>
        </is>
      </c>
      <c r="C62" s="9" t="inlineStr">
        <is>
          <t>TEST_ENVIRONMENT</t>
        </is>
      </c>
      <c r="D62" s="9" t="n">
        <v>2</v>
      </c>
      <c r="E62" s="10" t="inlineStr">
        <is>
          <t>Test environment not captured</t>
        </is>
      </c>
      <c r="F62" s="9" t="inlineStr">
        <is>
          <t>2026.09-pf-2</t>
        </is>
      </c>
    </row>
    <row r="63">
      <c r="A63" s="9" t="inlineStr">
        <is>
          <t>Salesforce</t>
        </is>
      </c>
      <c r="B63" s="9" t="inlineStr">
        <is>
          <t>COMPLEXITY</t>
        </is>
      </c>
      <c r="C63" s="9" t="inlineStr">
        <is>
          <t>CATALOG_APP_PARTIAL_CONFIG</t>
        </is>
      </c>
      <c r="D63" s="9" t="n">
        <v>5</v>
      </c>
      <c r="E63" s="10" t="inlineStr">
        <is>
          <t>1 occurrence(s) x 5</t>
        </is>
      </c>
      <c r="F63" s="9" t="inlineStr">
        <is>
          <t>2026.09-pf-2</t>
        </is>
      </c>
    </row>
    <row r="64">
      <c r="A64" s="9" t="inlineStr">
        <is>
          <t>Salesforce</t>
        </is>
      </c>
      <c r="B64" s="9" t="inlineStr">
        <is>
          <t>COMPLEXITY</t>
        </is>
      </c>
      <c r="C64" s="9" t="inlineStr">
        <is>
          <t>CUSTOM_APP_USERNAME</t>
        </is>
      </c>
      <c r="D64" s="9" t="n">
        <v>2</v>
      </c>
      <c r="E64" s="10" t="inlineStr">
        <is>
          <t>1 occurrence(s) x 2</t>
        </is>
      </c>
      <c r="F64" s="9" t="inlineStr">
        <is>
          <t>2026.09-pf-2</t>
        </is>
      </c>
    </row>
    <row r="65">
      <c r="A65" s="9" t="inlineStr">
        <is>
          <t>Salesforce</t>
        </is>
      </c>
      <c r="B65" s="9" t="inlineStr">
        <is>
          <t>COMPLEXITY</t>
        </is>
      </c>
      <c r="C65" s="9" t="inlineStr">
        <is>
          <t>ISSUANCE_CRITERIA_REQUIRED</t>
        </is>
      </c>
      <c r="D65" s="9" t="n">
        <v>1</v>
      </c>
      <c r="E65" s="10" t="inlineStr">
        <is>
          <t>1 occurrence(s) x 1</t>
        </is>
      </c>
      <c r="F65" s="9" t="inlineStr">
        <is>
          <t>2026.09-pf-2</t>
        </is>
      </c>
    </row>
    <row r="66">
      <c r="A66" s="9" t="inlineStr">
        <is>
          <t>Salesforce</t>
        </is>
      </c>
      <c r="B66" s="9" t="inlineStr">
        <is>
          <t>COMPLEXITY</t>
        </is>
      </c>
      <c r="C66" s="9" t="inlineStr">
        <is>
          <t>OKTA_NATIVE_GROUPS_ASSIGNED</t>
        </is>
      </c>
      <c r="D66" s="9" t="n">
        <v>2</v>
      </c>
      <c r="E66" s="10" t="inlineStr">
        <is>
          <t>1 occurrence(s) x 2</t>
        </is>
      </c>
      <c r="F66" s="9" t="inlineStr">
        <is>
          <t>2026.09-pf-2</t>
        </is>
      </c>
    </row>
    <row r="67">
      <c r="A67" s="9" t="inlineStr">
        <is>
          <t>Salesforce</t>
        </is>
      </c>
      <c r="B67" s="9" t="inlineStr">
        <is>
          <t>IMPACT</t>
        </is>
      </c>
      <c r="C67" s="9" t="inlineStr">
        <is>
          <t>ACTIVE_USERS</t>
        </is>
      </c>
      <c r="D67" s="9" t="n">
        <v>1</v>
      </c>
      <c r="E67" s="10" t="inlineStr">
        <is>
          <t>7 active users in 90 days (8 assigned)</t>
        </is>
      </c>
      <c r="F67" s="9" t="inlineStr">
        <is>
          <t>2026.09-pf-2</t>
        </is>
      </c>
    </row>
    <row r="68">
      <c r="A68" s="9" t="inlineStr">
        <is>
          <t>Salesforce</t>
        </is>
      </c>
      <c r="B68" s="9" t="inlineStr">
        <is>
          <t>IMPACT</t>
        </is>
      </c>
      <c r="C68" s="9" t="inlineStr">
        <is>
          <t>BUSINESS_CRITICALITY</t>
        </is>
      </c>
      <c r="D68" s="9" t="n">
        <v>2</v>
      </c>
      <c r="E68" s="10" t="inlineStr">
        <is>
          <t>Criticality not captured (assumed MEDIUM)</t>
        </is>
      </c>
      <c r="F68" s="9" t="inlineStr">
        <is>
          <t>2026.09-pf-2</t>
        </is>
      </c>
    </row>
    <row r="69">
      <c r="A69" s="9" t="inlineStr">
        <is>
          <t>Salesforce</t>
        </is>
      </c>
      <c r="B69" s="9" t="inlineStr">
        <is>
          <t>IMPACT</t>
        </is>
      </c>
      <c r="C69" s="9" t="inlineStr">
        <is>
          <t>TEST_ENVIRONMENT</t>
        </is>
      </c>
      <c r="D69" s="9" t="n">
        <v>2</v>
      </c>
      <c r="E69" s="10" t="inlineStr">
        <is>
          <t>Test environment not captured</t>
        </is>
      </c>
      <c r="F69" s="9" t="inlineStr">
        <is>
          <t>2026.09-pf-2</t>
        </is>
      </c>
    </row>
    <row r="70">
      <c r="A70" s="9" t="inlineStr">
        <is>
          <t>ServiceNow</t>
        </is>
      </c>
      <c r="B70" s="9" t="inlineStr">
        <is>
          <t>COMPLEXITY</t>
        </is>
      </c>
      <c r="C70" s="9" t="inlineStr">
        <is>
          <t>CATALOG_APP_PARTIAL_CONFIG</t>
        </is>
      </c>
      <c r="D70" s="9" t="n">
        <v>5</v>
      </c>
      <c r="E70" s="10" t="inlineStr">
        <is>
          <t>1 occurrence(s) x 5</t>
        </is>
      </c>
      <c r="F70" s="9" t="inlineStr">
        <is>
          <t>2026.09-pf-2</t>
        </is>
      </c>
    </row>
    <row r="71">
      <c r="A71" s="9" t="inlineStr">
        <is>
          <t>ServiceNow</t>
        </is>
      </c>
      <c r="B71" s="9" t="inlineStr">
        <is>
          <t>COMPLEXITY</t>
        </is>
      </c>
      <c r="C71" s="9" t="inlineStr">
        <is>
          <t>ISSUANCE_CRITERIA_REQUIRED</t>
        </is>
      </c>
      <c r="D71" s="9" t="n">
        <v>1</v>
      </c>
      <c r="E71" s="10" t="inlineStr">
        <is>
          <t>1 occurrence(s) x 1</t>
        </is>
      </c>
      <c r="F71" s="9" t="inlineStr">
        <is>
          <t>2026.09-pf-2</t>
        </is>
      </c>
    </row>
    <row r="72">
      <c r="A72" s="9" t="inlineStr">
        <is>
          <t>ServiceNow</t>
        </is>
      </c>
      <c r="B72" s="9" t="inlineStr">
        <is>
          <t>COMPLEXITY</t>
        </is>
      </c>
      <c r="C72" s="9" t="inlineStr">
        <is>
          <t>OKTA_NATIVE_GROUPS_ASSIGNED</t>
        </is>
      </c>
      <c r="D72" s="9" t="n">
        <v>2</v>
      </c>
      <c r="E72" s="10" t="inlineStr">
        <is>
          <t>1 occurrence(s) x 2</t>
        </is>
      </c>
      <c r="F72" s="9" t="inlineStr">
        <is>
          <t>2026.09-pf-2</t>
        </is>
      </c>
    </row>
    <row r="73">
      <c r="A73" s="9" t="inlineStr">
        <is>
          <t>ServiceNow</t>
        </is>
      </c>
      <c r="B73" s="9" t="inlineStr">
        <is>
          <t>IMPACT</t>
        </is>
      </c>
      <c r="C73" s="9" t="inlineStr">
        <is>
          <t>ACTIVE_USERS</t>
        </is>
      </c>
      <c r="D73" s="9" t="n">
        <v>1</v>
      </c>
      <c r="E73" s="10" t="inlineStr">
        <is>
          <t>12 active users in 90 days (12 assigned)</t>
        </is>
      </c>
      <c r="F73" s="9" t="inlineStr">
        <is>
          <t>2026.09-pf-2</t>
        </is>
      </c>
    </row>
    <row r="74">
      <c r="A74" s="9" t="inlineStr">
        <is>
          <t>ServiceNow</t>
        </is>
      </c>
      <c r="B74" s="9" t="inlineStr">
        <is>
          <t>IMPACT</t>
        </is>
      </c>
      <c r="C74" s="9" t="inlineStr">
        <is>
          <t>BUSINESS_CRITICALITY</t>
        </is>
      </c>
      <c r="D74" s="9" t="n">
        <v>2</v>
      </c>
      <c r="E74" s="10" t="inlineStr">
        <is>
          <t>Criticality not captured (assumed MEDIUM)</t>
        </is>
      </c>
      <c r="F74" s="9" t="inlineStr">
        <is>
          <t>2026.09-pf-2</t>
        </is>
      </c>
    </row>
    <row r="75">
      <c r="A75" s="9" t="inlineStr">
        <is>
          <t>ServiceNow</t>
        </is>
      </c>
      <c r="B75" s="9" t="inlineStr">
        <is>
          <t>IMPACT</t>
        </is>
      </c>
      <c r="C75" s="9" t="inlineStr">
        <is>
          <t>TEST_ENVIRONMENT</t>
        </is>
      </c>
      <c r="D75" s="9" t="n">
        <v>2</v>
      </c>
      <c r="E75" s="10" t="inlineStr">
        <is>
          <t>Test environment not captured</t>
        </is>
      </c>
      <c r="F75" s="9" t="inlineStr">
        <is>
          <t>2026.09-pf-2</t>
        </is>
      </c>
    </row>
  </sheetData>
  <autoFilter ref="A1:F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2026-09-27T16:17:53Z</dcterms:created>
  <dcterms:modified xmlns:dcterms="http://purl.org/dc/terms/" xmlns:xsi="http://www.w3.org/2001/XMLSchema-instance" xsi:type="dcterms:W3CDTF">2026-09-27T16:17:54Z</dcterms:modified>
</cp:coreProperties>
</file>